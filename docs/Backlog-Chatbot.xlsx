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ty\git\Chat-2026-2\docs\"/>
    </mc:Choice>
  </mc:AlternateContent>
  <xr:revisionPtr revIDLastSave="0" documentId="13_ncr:1_{00A7E591-6FA0-4485-AF2B-6B65AEE7B3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8" i="1" l="1"/>
  <c r="E138" i="1"/>
  <c r="D138" i="1"/>
  <c r="C138" i="1"/>
  <c r="G138" i="1" s="1"/>
  <c r="F137" i="1"/>
  <c r="E137" i="1"/>
  <c r="D137" i="1"/>
  <c r="C137" i="1"/>
  <c r="G137" i="1" s="1"/>
  <c r="F136" i="1"/>
  <c r="E136" i="1"/>
  <c r="D136" i="1"/>
  <c r="C136" i="1"/>
  <c r="G136" i="1" s="1"/>
  <c r="G135" i="1"/>
  <c r="F135" i="1"/>
  <c r="E135" i="1"/>
  <c r="D135" i="1"/>
  <c r="C135" i="1"/>
  <c r="F134" i="1"/>
  <c r="E134" i="1"/>
  <c r="D134" i="1"/>
  <c r="C134" i="1"/>
  <c r="G134" i="1" s="1"/>
  <c r="G133" i="1"/>
  <c r="F133" i="1"/>
  <c r="E133" i="1"/>
  <c r="D133" i="1"/>
  <c r="C133" i="1"/>
  <c r="F132" i="1"/>
  <c r="E132" i="1"/>
  <c r="D132" i="1"/>
  <c r="C132" i="1"/>
  <c r="G132" i="1" s="1"/>
  <c r="F131" i="1"/>
  <c r="E131" i="1"/>
  <c r="D131" i="1"/>
  <c r="C131" i="1"/>
  <c r="G131" i="1" s="1"/>
  <c r="F130" i="1"/>
  <c r="F139" i="1" s="1"/>
  <c r="E130" i="1"/>
  <c r="E139" i="1" s="1"/>
  <c r="D130" i="1"/>
  <c r="D139" i="1" s="1"/>
  <c r="C130" i="1"/>
  <c r="C139" i="1" s="1"/>
  <c r="B125" i="1"/>
  <c r="B124" i="1"/>
  <c r="B123" i="1"/>
  <c r="B122" i="1"/>
  <c r="B126" i="1" s="1"/>
  <c r="C126" i="1" l="1"/>
  <c r="C125" i="1"/>
  <c r="C123" i="1"/>
  <c r="C124" i="1"/>
  <c r="C122" i="1"/>
  <c r="G130" i="1"/>
  <c r="G139" i="1" s="1"/>
</calcChain>
</file>

<file path=xl/sharedStrings.xml><?xml version="1.0" encoding="utf-8"?>
<sst xmlns="http://schemas.openxmlformats.org/spreadsheetml/2006/main" count="802" uniqueCount="349">
  <si>
    <t>Documento de Requisitos</t>
  </si>
  <si>
    <t>Projeto Chatbot — Chat-2026</t>
  </si>
  <si>
    <t>Responsável: Patricia Pereira Martins – Time de Requisitos e Testes</t>
  </si>
  <si>
    <t>Data: 26/09/2026</t>
  </si>
  <si>
    <t>Versão: 1.0</t>
  </si>
  <si>
    <t>Product Backlog Unificado — Chatbot Universitário e Teste Vocacional</t>
  </si>
  <si>
    <t>Legenda</t>
  </si>
  <si>
    <t>Campo</t>
  </si>
  <si>
    <t>Descrição</t>
  </si>
  <si>
    <t>ID</t>
  </si>
  <si>
    <t>Identificador único do item de backlog</t>
  </si>
  <si>
    <t>US</t>
  </si>
  <si>
    <t>User Story de origem (RNF = requisito não funcional; — = item sem US própria)</t>
  </si>
  <si>
    <t>Item</t>
  </si>
  <si>
    <t>Descrição do item de backlog</t>
  </si>
  <si>
    <t>Dependências</t>
  </si>
  <si>
    <t>IDs dos itens que precisam estar prontos antes</t>
  </si>
  <si>
    <t>Status</t>
  </si>
  <si>
    <t>Implementado, Parcial, Divergente, Não implementado</t>
  </si>
  <si>
    <t>Issue/PR</t>
  </si>
  <si>
    <t>Issue ou PR do GitHub vinculado (fabrica-bayarea/Chat-2026-2)</t>
  </si>
  <si>
    <t>Observações</t>
  </si>
  <si>
    <t>Detalhes sobre a implementação atual ou diferenças em relação ao requisito</t>
  </si>
  <si>
    <t>Prioridade</t>
  </si>
  <si>
    <t>Alta, Média, Baixa</t>
  </si>
  <si>
    <t>Sprint</t>
  </si>
  <si>
    <t>Preencher no planejamento da sprint</t>
  </si>
  <si>
    <t>EP-01 — Assistente Conversacional e Consulta Acadêmica via MCP</t>
  </si>
  <si>
    <t>Observações / Divergências</t>
  </si>
  <si>
    <t>BK-001</t>
  </si>
  <si>
    <t>US-01</t>
  </si>
  <si>
    <t>Criar tela de chat (área de mensagens, campo de entrada, botão Enviar, envio com Enter)</t>
  </si>
  <si>
    <t>—</t>
  </si>
  <si>
    <t>Não implementado</t>
  </si>
  <si>
    <t>#7</t>
  </si>
  <si>
    <t>apps/web/src/App.tsx ainda é o template padrão do Vite</t>
  </si>
  <si>
    <t>Alta</t>
  </si>
  <si>
    <t>BK-002</t>
  </si>
  <si>
    <t>Implementar validações de envio (campo obrigatório, bloquear só espaços, botão desabilitado, impedir envios concorrentes durante processamento)</t>
  </si>
  <si>
    <t>BK-003</t>
  </si>
  <si>
    <t>Conectar o frontend ao WebSocket do orquestrador e informar ao usuário quando a conexão cair</t>
  </si>
  <si>
    <t>BK-001, BK-007</t>
  </si>
  <si>
    <t>Frontend não pode conhecer o MCP Server nem acessar a API Mock</t>
  </si>
  <si>
    <t>BK-004</t>
  </si>
  <si>
    <t>Exibir indicadores de processamento (STATUS_UPDATE) e resposta progressiva (TEXT_CHUNK)</t>
  </si>
  <si>
    <t>BK-003, BK-008</t>
  </si>
  <si>
    <t>Média</t>
  </si>
  <si>
    <t>BK-005</t>
  </si>
  <si>
    <t>Renderizar formatações nas respostas do assistente (Markdown, listas, links etc.)</t>
  </si>
  <si>
    <t>Sem issue vinculada</t>
  </si>
  <si>
    <t>BK-006</t>
  </si>
  <si>
    <t>Garantir layout responsivo do chat para desktop e dispositivos móveis</t>
  </si>
  <si>
    <t>Ver também EP-09</t>
  </si>
  <si>
    <t>BK-007</t>
  </si>
  <si>
    <t>US-04</t>
  </si>
  <si>
    <t>Implementar endpoint WebSocket no backend orquestrador (conexão, recebimento, validação básica, desconexão)</t>
  </si>
  <si>
    <t>#14</t>
  </si>
  <si>
    <t>apps/backend só tem o controller "Hello" do template NestJS</t>
  </si>
  <si>
    <t>BK-008</t>
  </si>
  <si>
    <t>Emitir os eventos STATUS_UPDATE, TEXT_CHUNK, ERROR e MESSAGE_COMPLETE</t>
  </si>
  <si>
    <t>BK-009</t>
  </si>
  <si>
    <t>US-03</t>
  </si>
  <si>
    <t>Criar API Mock acadêmica de consulta de matrícula (contrato, dados simulados, cenários de matrícula existente, inexistente e falha)</t>
  </si>
  <si>
    <t>#6</t>
  </si>
  <si>
    <t>Serviço usado apenas para validar a integração do EP-01</t>
  </si>
  <si>
    <t>BK-010</t>
  </si>
  <si>
    <t>Implementar MCP Server com a tool consultar_matricula (parâmetro matricula: string, obrigatório, validado)</t>
  </si>
  <si>
    <t>#8</t>
  </si>
  <si>
    <t>apps/mcp-server/src/server.ts está vazio</t>
  </si>
  <si>
    <t>BK-011</t>
  </si>
  <si>
    <t>Tratar matrícula inexistente e falhas de comunicação com a API Mock no MCP Server</t>
  </si>
  <si>
    <t>BK-012</t>
  </si>
  <si>
    <t>Permitir inspeção e testes do MCP Server com o MCP Inspector</t>
  </si>
  <si>
    <t>BK-013</t>
  </si>
  <si>
    <t>Configurar MCP Client no orquestrador (conexão, descoberta de tools, tratamento de erros)</t>
  </si>
  <si>
    <t>#9</t>
  </si>
  <si>
    <t>BK-014</t>
  </si>
  <si>
    <t>Implementar Agent Core (modelo configurável por ambiente, system prompt restrito ao domínio da universidade, tratamento de erros do modelo)</t>
  </si>
  <si>
    <t>#15</t>
  </si>
  <si>
    <t>apps/mastra-core/src/agent.ts e mastra.config.ts estão vazios</t>
  </si>
  <si>
    <t>BK-015</t>
  </si>
  <si>
    <t>Implementar fluxo de decisão do agente (precisa de consulta acadêmica? matrícula disponível? acionar consultar_matricula)</t>
  </si>
  <si>
    <t>BK-013, BK-014</t>
  </si>
  <si>
    <t>#10</t>
  </si>
  <si>
    <t>BK-016</t>
  </si>
  <si>
    <t>Garantir que o agente não invente dados acadêmicos, não afirme consultas não executadas e informe limitações</t>
  </si>
  <si>
    <t>BK-017</t>
  </si>
  <si>
    <t>Transmitir a resposta do agente em streaming até o frontend</t>
  </si>
  <si>
    <t>BK-008, BK-014</t>
  </si>
  <si>
    <t>#10, #14</t>
  </si>
  <si>
    <t>BK-018</t>
  </si>
  <si>
    <t>US-05</t>
  </si>
  <si>
    <t>Definir as fontes públicas do IESB e padronizar o modelo de linguagem da equipe</t>
  </si>
  <si>
    <t>Pré-requisito da US-05; sem issue vinculada</t>
  </si>
  <si>
    <t>BK-019</t>
  </si>
  <si>
    <t>Implementar coleta (scraping do site e plataforma públicos, PDFs, DOC/DOCX)</t>
  </si>
  <si>
    <t>#11</t>
  </si>
  <si>
    <t>Execução única nesta fase</t>
  </si>
  <si>
    <t>BK-020</t>
  </si>
  <si>
    <t>Processar conteúdo: limpeza, normalização, chunking, embeddings e armazenamento vetorial com metadados de fonte</t>
  </si>
  <si>
    <t>Armazenamento vetorial local e desacoplado; tecnologia ainda não definida</t>
  </si>
  <si>
    <t>BK-021</t>
  </si>
  <si>
    <t>Implementar recuperação semântica com metadados de fonte e tratamento de ausência de resultados</t>
  </si>
  <si>
    <t>#12</t>
  </si>
  <si>
    <t>BK-022</t>
  </si>
  <si>
    <t>Integrar o RAG ao agente mantendo a separação RAG (conhecimento) × MCP (dados transacionais)</t>
  </si>
  <si>
    <t>BK-021, BK-014</t>
  </si>
  <si>
    <t>#13</t>
  </si>
  <si>
    <t>Observações de Escopo do EP-01 dizem que RAG está fora do épico (ver Divergências)</t>
  </si>
  <si>
    <t>BK-023</t>
  </si>
  <si>
    <t>Exibir no chat as fontes usadas na resposta, sem expor detalhes de scraping/chunking/embeddings</t>
  </si>
  <si>
    <t>BK-022, BK-005</t>
  </si>
  <si>
    <t>EP-02 — Teste Vocacional Conversacional</t>
  </si>
  <si>
    <t>BK-024</t>
  </si>
  <si>
    <t>Portar perguntas e pontuação do protótipo para um módulo reutilizável pelo agente/backend</t>
  </si>
  <si>
    <t>Parcial</t>
  </si>
  <si>
    <t>PR #1, PR #2</t>
  </si>
  <si>
    <t>Protótipo de terminal em apps/mastra-core/src/vocacional/teste_vocacional.ts (e cópias em .py e em docs/vocacional)</t>
  </si>
  <si>
    <t>BK-025</t>
  </si>
  <si>
    <t>Permitir iniciar a sessão do teste pelo chat, por botão ou pedido em texto livre</t>
  </si>
  <si>
    <t>BK-024, BK-007</t>
  </si>
  <si>
    <t>BK-026</t>
  </si>
  <si>
    <t>Embaralhar as alternativas por sessão mantendo o mapeamento alternativa → perfil/modalidade</t>
  </si>
  <si>
    <t>PR #2</t>
  </si>
  <si>
    <t>Protótipo já embaralha (função embaralhar), mas sem persistir a ordem por sessão</t>
  </si>
  <si>
    <t>BK-027</t>
  </si>
  <si>
    <t>US-02</t>
  </si>
  <si>
    <t>Exibir cada pergunta com as alternativas como botões clicáveis no chat</t>
  </si>
  <si>
    <t>BK-025, BK-001</t>
  </si>
  <si>
    <t>Protótipo usa entrada por terminal</t>
  </si>
  <si>
    <t>BK-028</t>
  </si>
  <si>
    <t>Registrar a resposta no backend e exibir a próxima pergunta ou o resultado em menos de 1 s</t>
  </si>
  <si>
    <t>BK-029</t>
  </si>
  <si>
    <t>Persistir o progresso da sessão (pergunta atual e respostas) a cada resposta</t>
  </si>
  <si>
    <t>Não há banco de dados configurado no monorepo</t>
  </si>
  <si>
    <t>BK-030</t>
  </si>
  <si>
    <t>Expirar sessões sem atividade há mais de 7 dias</t>
  </si>
  <si>
    <t>Baixa</t>
  </si>
  <si>
    <t>BK-031</t>
  </si>
  <si>
    <t>Retomar a sessão em andamento ao reabrir o chat</t>
  </si>
  <si>
    <t>EP-03 — Recomendação de Cursos</t>
  </si>
  <si>
    <t>BK-032</t>
  </si>
  <si>
    <t>Calcular o percentual de afinidade com os 6 perfis a partir das 19 respostas de perfil</t>
  </si>
  <si>
    <t>Cálculo existe no protótipo (porcentagens)</t>
  </si>
  <si>
    <t>BK-033</t>
  </si>
  <si>
    <t>Exibir no chat o ranking dos 6 perfis, do maior para o menor percentual</t>
  </si>
  <si>
    <t>BK-032, BK-028</t>
  </si>
  <si>
    <t>Protótipo calcula rankingPerfis, mas não exibe nem usa (void rankingPerfis)</t>
  </si>
  <si>
    <t>BK-034</t>
  </si>
  <si>
    <t>Recomendar cursos pela afinidade ponderada pelos percentuais de perfil</t>
  </si>
  <si>
    <t>Protótipo não ordena os cursos por afinidade</t>
  </si>
  <si>
    <t>BK-035</t>
  </si>
  <si>
    <t>Priorizar cursos compatíveis com a modalidade escolhida sobre os incompatíveis</t>
  </si>
  <si>
    <t>Protótipo só informa compatível/incompatível, sem ordenar</t>
  </si>
  <si>
    <t>BK-036</t>
  </si>
  <si>
    <t>Validar ou substituir o catálogo de cursos e pesos pelo catálogo oficial da instituição</t>
  </si>
  <si>
    <t>Catálogo atual (17 cursos) é estimativa, não oficial (RN-05)</t>
  </si>
  <si>
    <t>BK-037</t>
  </si>
  <si>
    <t>Indicar, para cada curso recomendado, se é compatível com a modalidade</t>
  </si>
  <si>
    <t>Protótipo imprime no terminal</t>
  </si>
  <si>
    <t>BK-038</t>
  </si>
  <si>
    <t>Exibir o percentual de afinidade de cada curso recomendado</t>
  </si>
  <si>
    <t>Item de backlog do próprio épico</t>
  </si>
  <si>
    <t>EP-04 — Chat Livre (Tira-dúvidas via IA)</t>
  </si>
  <si>
    <t>BK-039</t>
  </si>
  <si>
    <t>Aceitar mensagens de texto livre quando não houver pergunta do teste pendente</t>
  </si>
  <si>
    <t>BK-025, BK-014</t>
  </si>
  <si>
    <t>BK-040</t>
  </si>
  <si>
    <t>Criar system prompt de orientação vocacional/carreira</t>
  </si>
  <si>
    <t>RN-06 fixa Ollama local; EP-01 diz que o modelo não é fixo (ver Divergências)</t>
  </si>
  <si>
    <t>BK-041</t>
  </si>
  <si>
    <t>Responder mensagens livres em português em até 5 s</t>
  </si>
  <si>
    <t>CA-06</t>
  </si>
  <si>
    <t>BK-042</t>
  </si>
  <si>
    <t>Sugerir o teste quando o visitante ainda não tiver concluído um</t>
  </si>
  <si>
    <t>BK-040, BK-029</t>
  </si>
  <si>
    <t>RN-07</t>
  </si>
  <si>
    <t>BK-043</t>
  </si>
  <si>
    <t>RNF</t>
  </si>
  <si>
    <t>Limitar o histórico enviado ao LLM às últimas 20 mensagens da sessão</t>
  </si>
  <si>
    <t>RNF-02</t>
  </si>
  <si>
    <t>BK-044</t>
  </si>
  <si>
    <t>Responder com mensagem amigável quando o LLM estiver indisponível, sem expor stacktrace</t>
  </si>
  <si>
    <t>RNF-03</t>
  </si>
  <si>
    <t>EP-05 — Autenticação e Perfis de Acesso</t>
  </si>
  <si>
    <t>BK-045</t>
  </si>
  <si>
    <t>Permitir uso completo do teste e do chat livre sem autenticação</t>
  </si>
  <si>
    <t>BK-025, BK-039</t>
  </si>
  <si>
    <t>Conflita com persona Aluno do EP-01 (ver Divergências)</t>
  </si>
  <si>
    <t>BK-046</t>
  </si>
  <si>
    <t>Criar modelo de usuário (nome, e-mail, senha com hash, perfil, timestamps)</t>
  </si>
  <si>
    <t>BK-047</t>
  </si>
  <si>
    <t>Oferecer cadastro (nome, e-mail, senha) ao final do teste</t>
  </si>
  <si>
    <t>Rota /cadastro</t>
  </si>
  <si>
    <t>BK-048</t>
  </si>
  <si>
    <t>Vincular a sessão anônima concluída à nova conta</t>
  </si>
  <si>
    <t>BK-047, BK-029</t>
  </si>
  <si>
    <t>RN-08</t>
  </si>
  <si>
    <t>BK-049</t>
  </si>
  <si>
    <t>Implementar login com JWT em cookie HttpOnly no apps/backend</t>
  </si>
  <si>
    <t>RF-10</t>
  </si>
  <si>
    <t>BK-050</t>
  </si>
  <si>
    <t>Criar tela /login</t>
  </si>
  <si>
    <t>BK-051</t>
  </si>
  <si>
    <t>Proteger rotas administrativas com guards por perfil no backend</t>
  </si>
  <si>
    <t>RN-09</t>
  </si>
  <si>
    <t>BK-052</t>
  </si>
  <si>
    <t>Negar escrita ao Orientador com 403 (somente leitura)</t>
  </si>
  <si>
    <t>RN-10</t>
  </si>
  <si>
    <t>BK-053</t>
  </si>
  <si>
    <t>Redirecionar para /login e ocultar menus sem permissão no frontend</t>
  </si>
  <si>
    <t>Apenas UX; a autorização real é do backend</t>
  </si>
  <si>
    <t>EP-06 — Histórico do Usuário</t>
  </si>
  <si>
    <t>BK-054</t>
  </si>
  <si>
    <t>Implementar endpoint de listagem das sessões concluídas do usuário (mais recente primeiro)</t>
  </si>
  <si>
    <t>RF-11</t>
  </si>
  <si>
    <t>BK-055</t>
  </si>
  <si>
    <t>Criar tela /historico com data e perfil predominante de cada sessão</t>
  </si>
  <si>
    <t>CA-07</t>
  </si>
  <si>
    <t>BK-056</t>
  </si>
  <si>
    <t>Criar tela /historico/:sessaoId com perfil, modalidade e cursos</t>
  </si>
  <si>
    <t>Definida no sitemap</t>
  </si>
  <si>
    <t>BK-057</t>
  </si>
  <si>
    <t>Permitir refazer o teste sem sobrescrever sessões anteriores</t>
  </si>
  <si>
    <t>RF-12 / RN-10 (ID duplicado, ver Divergências)</t>
  </si>
  <si>
    <t>EP-07 — Administração de Perguntas e Cursos</t>
  </si>
  <si>
    <t>BK-058</t>
  </si>
  <si>
    <t>Migrar perguntas e catálogo de cursos de constantes no código para o banco</t>
  </si>
  <si>
    <t>Pré-requisito do épico</t>
  </si>
  <si>
    <t>BK-059</t>
  </si>
  <si>
    <t>Implementar CRUD de cursos (nome, modalidades, pesos dos 6 perfis)</t>
  </si>
  <si>
    <t>BK-058, BK-051</t>
  </si>
  <si>
    <t>RF-13</t>
  </si>
  <si>
    <t>BK-060</t>
  </si>
  <si>
    <t>Validar ao menos uma modalidade e os 6 pesos de perfil antes de salvar um curso</t>
  </si>
  <si>
    <t>RN-11 / CA-08</t>
  </si>
  <si>
    <t>BK-061</t>
  </si>
  <si>
    <t>Criar telas /admin/cursos, /admin/cursos/novo e /admin/cursos/:id</t>
  </si>
  <si>
    <t>BK-062</t>
  </si>
  <si>
    <t>Implementar edição apenas do texto de perguntas e alternativas (estrutura bloqueada)</t>
  </si>
  <si>
    <t>RF-14 / RN-12</t>
  </si>
  <si>
    <t>BK-063</t>
  </si>
  <si>
    <t>Criar telas /admin/perguntas e /admin/perguntas/:indice</t>
  </si>
  <si>
    <t>BK-064</t>
  </si>
  <si>
    <t>Criar gestão de contas de Orientador/Administrador (/admin/usuarios)</t>
  </si>
  <si>
    <t>Previsto no RBAC e no sitemap, sem US própria</t>
  </si>
  <si>
    <t>EP-08 — Métricas e Relatórios</t>
  </si>
  <si>
    <t>BK-065</t>
  </si>
  <si>
    <t>Implementar endpoint de métricas (total de testes, distribuição de perfis e de modalidades)</t>
  </si>
  <si>
    <t>BK-029, BK-051</t>
  </si>
  <si>
    <t>RF-15</t>
  </si>
  <si>
    <t>BK-066</t>
  </si>
  <si>
    <t>Criar painel /admin/metricas carregando em até 3 s para 10 mil sessões</t>
  </si>
  <si>
    <t>RNF-04</t>
  </si>
  <si>
    <t>BK-067</t>
  </si>
  <si>
    <t>Exportar métricas agregadas em CSV</t>
  </si>
  <si>
    <t>RF-16</t>
  </si>
  <si>
    <t>BK-068</t>
  </si>
  <si>
    <t>Criar dashboard /admin com atalhos e resumo de métricas</t>
  </si>
  <si>
    <t>Definido no sitemap</t>
  </si>
  <si>
    <t>EP-09 — Responsividade e Acessibilidade</t>
  </si>
  <si>
    <t>BK-069</t>
  </si>
  <si>
    <t>Garantir interface funcional a partir de 320px, sem scroll horizontal</t>
  </si>
  <si>
    <t>RNF-05</t>
  </si>
  <si>
    <t>BK-070</t>
  </si>
  <si>
    <t>Manter alternativas longas do teste legíveis em telas de 375px</t>
  </si>
  <si>
    <t>CA-09</t>
  </si>
  <si>
    <t>BK-071</t>
  </si>
  <si>
    <t>Garantir navegação por teclado (Tab + Enter/Espaço) com foco visível</t>
  </si>
  <si>
    <t>RNF-06</t>
  </si>
  <si>
    <t>BK-072</t>
  </si>
  <si>
    <t>Adicionar aria-label a elementos interativos sem rótulo visível</t>
  </si>
  <si>
    <t>RNF-07</t>
  </si>
  <si>
    <t>Resumo Geral</t>
  </si>
  <si>
    <t>Quantidade</t>
  </si>
  <si>
    <t>%</t>
  </si>
  <si>
    <t>Implementado</t>
  </si>
  <si>
    <t>Divergente</t>
  </si>
  <si>
    <t>Total</t>
  </si>
  <si>
    <t>Por Épico</t>
  </si>
  <si>
    <t>Épico</t>
  </si>
  <si>
    <t>Impl.</t>
  </si>
  <si>
    <t>Diverg.</t>
  </si>
  <si>
    <t>Não impl.</t>
  </si>
  <si>
    <t>EP-01</t>
  </si>
  <si>
    <t>Assistente Conversacional e Consulta Acadêmica via MCP</t>
  </si>
  <si>
    <t>EP-02</t>
  </si>
  <si>
    <t>Teste Vocacional Conversacional</t>
  </si>
  <si>
    <t>EP-03</t>
  </si>
  <si>
    <t>Recomendação de Cursos</t>
  </si>
  <si>
    <t>EP-04</t>
  </si>
  <si>
    <t>Chat Livre (Tira-dúvidas via IA)</t>
  </si>
  <si>
    <t>EP-05</t>
  </si>
  <si>
    <t>Autenticação e Perfis de Acesso</t>
  </si>
  <si>
    <t>EP-06</t>
  </si>
  <si>
    <t>Histórico do Usuário</t>
  </si>
  <si>
    <t>EP-07</t>
  </si>
  <si>
    <t>Administração de Perguntas e Cursos</t>
  </si>
  <si>
    <t>EP-08</t>
  </si>
  <si>
    <t>Métricas e Relatórios</t>
  </si>
  <si>
    <t>EP-09</t>
  </si>
  <si>
    <t>Responsividade e Acessibilidade</t>
  </si>
  <si>
    <t>Divergências Críticas</t>
  </si>
  <si>
    <t>#</t>
  </si>
  <si>
    <t>Divergência</t>
  </si>
  <si>
    <t>Impacto</t>
  </si>
  <si>
    <t>BK Relacionados</t>
  </si>
  <si>
    <t>Escopo do agente conflitante: EP-01 restringe o assistente a temas da universidade; EP-04 restringe à orientação vocacional</t>
  </si>
  <si>
    <t>ALTO</t>
  </si>
  <si>
    <t>BK-014, BK-040</t>
  </si>
  <si>
    <t>Personas e perfis diferentes: visão e EP-01 usam Aluno/Professor/Funcionário/Administrador; EP-02 a EP-09 usam Visitante/Usuário Cadastrado/Orientador/Administrador</t>
  </si>
  <si>
    <t>BK-045 a BK-053</t>
  </si>
  <si>
    <t>EP-01 se contradiz: Observações de Escopo dizem que RAG não faz parte do épico, mas a US-05 e os critérios de aceitação exigem RAG funcional</t>
  </si>
  <si>
    <t>BK-018 a BK-023</t>
  </si>
  <si>
    <t>Catálogo de cursos é estimativa, não é o catálogo oficial da instituição</t>
  </si>
  <si>
    <t>Modelo de linguagem: EP-04 (RN-06) fixa Ollama local; EP-01 diz que o modelo não é fixo</t>
  </si>
  <si>
    <t>MÉDIO</t>
  </si>
  <si>
    <t>Protocolo de eventos: sitemap usa teste:iniciar/teste:pergunta/teste:resultado; EP-01 define STATUS_UPDATE/TEXT_CHUNK/ERROR/MESSAGE_COMPLETE</t>
  </si>
  <si>
    <t>BK-008, BK-025</t>
  </si>
  <si>
    <t>Protótipo vocacional não recomenda cursos: ranking de perfis é calculado e descartado</t>
  </si>
  <si>
    <t>BK-033, BK-034</t>
  </si>
  <si>
    <t>Lógica do teste duplicada em três arquivos (.ts em docs, .ts e .py em apps/mastra-core)</t>
  </si>
  <si>
    <t>ID RN-10 usado para duas regras diferentes (EP-05: orientador somente leitura; EP-06: histórico não sobrescreve)</t>
  </si>
  <si>
    <t>BAIXO</t>
  </si>
  <si>
    <t>BK-052, BK-057</t>
  </si>
  <si>
    <t>EP-01 pula a US-02 (vai de US-01 para US-03)</t>
  </si>
  <si>
    <t>Issues Abertas Vinculadas</t>
  </si>
  <si>
    <t>Issue</t>
  </si>
  <si>
    <t>Título</t>
  </si>
  <si>
    <t>API Mock</t>
  </si>
  <si>
    <t>Interface base Chat UI</t>
  </si>
  <si>
    <t>BK-001 a BK-004, BK-006</t>
  </si>
  <si>
    <t>MCP Server</t>
  </si>
  <si>
    <t>BK-010 a BK-012</t>
  </si>
  <si>
    <t>MCP Client</t>
  </si>
  <si>
    <t>Orquestração robusta do Agente de IA</t>
  </si>
  <si>
    <t>BK-015 a BK-017</t>
  </si>
  <si>
    <t>Ingestão RAG</t>
  </si>
  <si>
    <t>BK-019, BK-020</t>
  </si>
  <si>
    <t>Recuperação RAG</t>
  </si>
  <si>
    <t>RAG + Agente</t>
  </si>
  <si>
    <t>BK-022, BK-023</t>
  </si>
  <si>
    <t>WebSocket Backend</t>
  </si>
  <si>
    <t>BK-007, BK-008, BK-017</t>
  </si>
  <si>
    <t>Agent Core</t>
  </si>
  <si>
    <t>PR #4</t>
  </si>
  <si>
    <t>Security workflow for enhanced analysis</t>
  </si>
  <si>
    <t>Transversal</t>
  </si>
  <si>
    <t>Fonte: status levantado no código da branch main em 26/09/2026 e issues do GitHub (fabrica-bayarea/Chat-2026-2).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</si>
</sst>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4"/>
      <color rgb="FF1F3864"/>
      <name val="Arial"/>
    </font>
    <font>
      <b/>
      <sz val="11"/>
      <color rgb="FF1F3864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595959"/>
      <name val="Arial"/>
    </font>
    <font>
      <b/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FFEB9C"/>
      </patternFill>
    </fill>
    <fill>
      <patternFill patternType="solid">
        <fgColor rgb="FFEDEDE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9" fontId="5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9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vertical="top"/>
    </xf>
    <xf numFmtId="0" fontId="5" fillId="0" borderId="1" xfId="0" applyFont="1" applyBorder="1" applyAlignment="1">
      <alignment vertical="top" wrapText="1"/>
    </xf>
    <xf numFmtId="0" fontId="0" fillId="0" borderId="1" xfId="0" applyBorder="1"/>
    <xf numFmtId="0" fontId="0" fillId="0" borderId="3" xfId="0" applyBorder="1"/>
    <xf numFmtId="0" fontId="3" fillId="3" borderId="1" xfId="0" applyFont="1" applyFill="1" applyBorder="1" applyAlignment="1">
      <alignment vertical="top" wrapText="1"/>
    </xf>
    <xf numFmtId="0" fontId="0" fillId="0" borderId="2" xfId="0" applyBorder="1"/>
    <xf numFmtId="0" fontId="4" fillId="2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4">
    <dxf>
      <fill>
        <patternFill patternType="solid">
          <fgColor rgb="FFEDEDED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8"/>
  <sheetViews>
    <sheetView showGridLines="0" tabSelected="1" topLeftCell="A30" workbookViewId="0">
      <selection activeCell="B6" sqref="B6"/>
    </sheetView>
  </sheetViews>
  <sheetFormatPr defaultRowHeight="15" x14ac:dyDescent="0.25"/>
  <cols>
    <col min="1" max="1" width="15.42578125" customWidth="1"/>
    <col min="2" max="2" width="15.28515625" customWidth="1"/>
    <col min="3" max="3" width="60" customWidth="1"/>
    <col min="4" max="4" width="18" customWidth="1"/>
    <col min="5" max="5" width="17" customWidth="1"/>
    <col min="6" max="6" width="14" customWidth="1"/>
    <col min="7" max="7" width="50" customWidth="1"/>
    <col min="8" max="8" width="11" customWidth="1"/>
    <col min="9" max="9" width="10" customWidth="1"/>
  </cols>
  <sheetData>
    <row r="1" spans="1:8" ht="18" x14ac:dyDescent="0.25">
      <c r="A1" s="21" t="s">
        <v>0</v>
      </c>
      <c r="B1" s="21"/>
      <c r="C1" s="21"/>
      <c r="D1" s="21"/>
      <c r="E1" s="21"/>
      <c r="F1" s="21"/>
      <c r="G1" s="21"/>
      <c r="H1" s="21"/>
    </row>
    <row r="2" spans="1:8" ht="18" x14ac:dyDescent="0.25">
      <c r="A2" s="22" t="s">
        <v>1</v>
      </c>
      <c r="B2" s="22"/>
      <c r="C2" s="22"/>
      <c r="D2" s="22"/>
      <c r="E2" s="22"/>
      <c r="F2" s="22"/>
      <c r="G2" s="22"/>
      <c r="H2" s="22"/>
    </row>
    <row r="3" spans="1:8" x14ac:dyDescent="0.25">
      <c r="A3" s="1" t="s">
        <v>2</v>
      </c>
    </row>
    <row r="4" spans="1:8" x14ac:dyDescent="0.25">
      <c r="A4" s="1" t="s">
        <v>3</v>
      </c>
    </row>
    <row r="5" spans="1:8" x14ac:dyDescent="0.25">
      <c r="A5" s="1" t="s">
        <v>4</v>
      </c>
    </row>
    <row r="7" spans="1:8" ht="18" x14ac:dyDescent="0.25">
      <c r="A7" s="2" t="s">
        <v>5</v>
      </c>
    </row>
    <row r="9" spans="1:8" x14ac:dyDescent="0.25">
      <c r="A9" s="3" t="s">
        <v>6</v>
      </c>
    </row>
    <row r="10" spans="1:8" x14ac:dyDescent="0.25">
      <c r="A10" s="4" t="s">
        <v>7</v>
      </c>
      <c r="B10" s="20" t="s">
        <v>8</v>
      </c>
      <c r="C10" s="19"/>
      <c r="D10" s="19"/>
      <c r="E10" s="19"/>
      <c r="F10" s="19"/>
      <c r="G10" s="17"/>
    </row>
    <row r="11" spans="1:8" x14ac:dyDescent="0.25">
      <c r="A11" s="5" t="s">
        <v>9</v>
      </c>
      <c r="B11" s="15" t="s">
        <v>10</v>
      </c>
      <c r="C11" s="16"/>
      <c r="D11" s="16"/>
      <c r="E11" s="16"/>
      <c r="F11" s="16"/>
      <c r="G11" s="16"/>
    </row>
    <row r="12" spans="1:8" x14ac:dyDescent="0.25">
      <c r="A12" s="5" t="s">
        <v>11</v>
      </c>
      <c r="B12" s="15" t="s">
        <v>12</v>
      </c>
      <c r="C12" s="16"/>
      <c r="D12" s="16"/>
      <c r="E12" s="16"/>
      <c r="F12" s="16"/>
      <c r="G12" s="16"/>
    </row>
    <row r="13" spans="1:8" x14ac:dyDescent="0.25">
      <c r="A13" s="5" t="s">
        <v>13</v>
      </c>
      <c r="B13" s="15" t="s">
        <v>14</v>
      </c>
      <c r="C13" s="16"/>
      <c r="D13" s="16"/>
      <c r="E13" s="16"/>
      <c r="F13" s="16"/>
      <c r="G13" s="16"/>
    </row>
    <row r="14" spans="1:8" ht="25.5" x14ac:dyDescent="0.25">
      <c r="A14" s="5" t="s">
        <v>15</v>
      </c>
      <c r="B14" s="15" t="s">
        <v>16</v>
      </c>
      <c r="C14" s="16"/>
      <c r="D14" s="16"/>
      <c r="E14" s="16"/>
      <c r="F14" s="16"/>
      <c r="G14" s="16"/>
    </row>
    <row r="15" spans="1:8" x14ac:dyDescent="0.25">
      <c r="A15" s="5" t="s">
        <v>17</v>
      </c>
      <c r="B15" s="15" t="s">
        <v>18</v>
      </c>
      <c r="C15" s="16"/>
      <c r="D15" s="16"/>
      <c r="E15" s="16"/>
      <c r="F15" s="16"/>
      <c r="G15" s="16"/>
    </row>
    <row r="16" spans="1:8" x14ac:dyDescent="0.25">
      <c r="A16" s="5" t="s">
        <v>19</v>
      </c>
      <c r="B16" s="15" t="s">
        <v>20</v>
      </c>
      <c r="C16" s="16"/>
      <c r="D16" s="16"/>
      <c r="E16" s="16"/>
      <c r="F16" s="16"/>
      <c r="G16" s="16"/>
    </row>
    <row r="17" spans="1:9" ht="25.5" x14ac:dyDescent="0.25">
      <c r="A17" s="5" t="s">
        <v>21</v>
      </c>
      <c r="B17" s="15" t="s">
        <v>22</v>
      </c>
      <c r="C17" s="16"/>
      <c r="D17" s="16"/>
      <c r="E17" s="16"/>
      <c r="F17" s="16"/>
      <c r="G17" s="16"/>
    </row>
    <row r="18" spans="1:9" ht="25.5" x14ac:dyDescent="0.25">
      <c r="A18" s="5" t="s">
        <v>23</v>
      </c>
      <c r="B18" s="15" t="s">
        <v>24</v>
      </c>
      <c r="C18" s="16"/>
      <c r="D18" s="16"/>
      <c r="E18" s="16"/>
      <c r="F18" s="16"/>
      <c r="G18" s="16"/>
    </row>
    <row r="19" spans="1:9" x14ac:dyDescent="0.25">
      <c r="A19" s="5" t="s">
        <v>25</v>
      </c>
      <c r="B19" s="15" t="s">
        <v>26</v>
      </c>
      <c r="C19" s="16"/>
      <c r="D19" s="16"/>
      <c r="E19" s="16"/>
      <c r="F19" s="16"/>
      <c r="G19" s="16"/>
    </row>
    <row r="21" spans="1:9" x14ac:dyDescent="0.25">
      <c r="A21" s="18" t="s">
        <v>27</v>
      </c>
      <c r="B21" s="19"/>
      <c r="C21" s="19"/>
      <c r="D21" s="19"/>
      <c r="E21" s="19"/>
      <c r="F21" s="19"/>
      <c r="G21" s="19"/>
      <c r="H21" s="19"/>
      <c r="I21" s="17"/>
    </row>
    <row r="22" spans="1:9" x14ac:dyDescent="0.25">
      <c r="A22" s="4" t="s">
        <v>9</v>
      </c>
      <c r="B22" s="4" t="s">
        <v>11</v>
      </c>
      <c r="C22" s="4" t="s">
        <v>13</v>
      </c>
      <c r="D22" s="4" t="s">
        <v>15</v>
      </c>
      <c r="E22" s="4" t="s">
        <v>17</v>
      </c>
      <c r="F22" s="4" t="s">
        <v>19</v>
      </c>
      <c r="G22" s="4" t="s">
        <v>28</v>
      </c>
      <c r="H22" s="4" t="s">
        <v>23</v>
      </c>
      <c r="I22" s="4" t="s">
        <v>25</v>
      </c>
    </row>
    <row r="23" spans="1:9" ht="25.5" x14ac:dyDescent="0.25">
      <c r="A23" s="7" t="s">
        <v>29</v>
      </c>
      <c r="B23" s="7" t="s">
        <v>30</v>
      </c>
      <c r="C23" s="6" t="s">
        <v>31</v>
      </c>
      <c r="D23" s="6" t="s">
        <v>32</v>
      </c>
      <c r="E23" s="7" t="s">
        <v>33</v>
      </c>
      <c r="F23" s="7" t="s">
        <v>34</v>
      </c>
      <c r="G23" s="6" t="s">
        <v>35</v>
      </c>
      <c r="H23" s="7" t="s">
        <v>36</v>
      </c>
      <c r="I23" s="7"/>
    </row>
    <row r="24" spans="1:9" ht="38.25" x14ac:dyDescent="0.25">
      <c r="A24" s="7" t="s">
        <v>37</v>
      </c>
      <c r="B24" s="7" t="s">
        <v>30</v>
      </c>
      <c r="C24" s="6" t="s">
        <v>38</v>
      </c>
      <c r="D24" s="6" t="s">
        <v>29</v>
      </c>
      <c r="E24" s="7" t="s">
        <v>33</v>
      </c>
      <c r="F24" s="7" t="s">
        <v>34</v>
      </c>
      <c r="G24" s="6" t="s">
        <v>32</v>
      </c>
      <c r="H24" s="7" t="s">
        <v>36</v>
      </c>
      <c r="I24" s="7"/>
    </row>
    <row r="25" spans="1:9" ht="25.5" x14ac:dyDescent="0.25">
      <c r="A25" s="7" t="s">
        <v>39</v>
      </c>
      <c r="B25" s="7" t="s">
        <v>30</v>
      </c>
      <c r="C25" s="6" t="s">
        <v>40</v>
      </c>
      <c r="D25" s="6" t="s">
        <v>41</v>
      </c>
      <c r="E25" s="7" t="s">
        <v>33</v>
      </c>
      <c r="F25" s="7" t="s">
        <v>34</v>
      </c>
      <c r="G25" s="6" t="s">
        <v>42</v>
      </c>
      <c r="H25" s="7" t="s">
        <v>36</v>
      </c>
      <c r="I25" s="7"/>
    </row>
    <row r="26" spans="1:9" ht="25.5" x14ac:dyDescent="0.25">
      <c r="A26" s="7" t="s">
        <v>43</v>
      </c>
      <c r="B26" s="7" t="s">
        <v>30</v>
      </c>
      <c r="C26" s="6" t="s">
        <v>44</v>
      </c>
      <c r="D26" s="6" t="s">
        <v>45</v>
      </c>
      <c r="E26" s="7" t="s">
        <v>33</v>
      </c>
      <c r="F26" s="7" t="s">
        <v>34</v>
      </c>
      <c r="G26" s="6" t="s">
        <v>32</v>
      </c>
      <c r="H26" s="7" t="s">
        <v>46</v>
      </c>
      <c r="I26" s="7"/>
    </row>
    <row r="27" spans="1:9" ht="25.5" x14ac:dyDescent="0.25">
      <c r="A27" s="7" t="s">
        <v>47</v>
      </c>
      <c r="B27" s="7" t="s">
        <v>30</v>
      </c>
      <c r="C27" s="6" t="s">
        <v>48</v>
      </c>
      <c r="D27" s="6" t="s">
        <v>43</v>
      </c>
      <c r="E27" s="7" t="s">
        <v>33</v>
      </c>
      <c r="F27" s="7" t="s">
        <v>32</v>
      </c>
      <c r="G27" s="6" t="s">
        <v>49</v>
      </c>
      <c r="H27" s="7" t="s">
        <v>46</v>
      </c>
      <c r="I27" s="7"/>
    </row>
    <row r="28" spans="1:9" ht="25.5" x14ac:dyDescent="0.25">
      <c r="A28" s="7" t="s">
        <v>50</v>
      </c>
      <c r="B28" s="7" t="s">
        <v>30</v>
      </c>
      <c r="C28" s="6" t="s">
        <v>51</v>
      </c>
      <c r="D28" s="6" t="s">
        <v>29</v>
      </c>
      <c r="E28" s="7" t="s">
        <v>33</v>
      </c>
      <c r="F28" s="7" t="s">
        <v>34</v>
      </c>
      <c r="G28" s="6" t="s">
        <v>52</v>
      </c>
      <c r="H28" s="7" t="s">
        <v>46</v>
      </c>
      <c r="I28" s="7"/>
    </row>
    <row r="29" spans="1:9" ht="25.5" x14ac:dyDescent="0.25">
      <c r="A29" s="7" t="s">
        <v>53</v>
      </c>
      <c r="B29" s="7" t="s">
        <v>54</v>
      </c>
      <c r="C29" s="6" t="s">
        <v>55</v>
      </c>
      <c r="D29" s="6" t="s">
        <v>32</v>
      </c>
      <c r="E29" s="7" t="s">
        <v>33</v>
      </c>
      <c r="F29" s="7" t="s">
        <v>56</v>
      </c>
      <c r="G29" s="6" t="s">
        <v>57</v>
      </c>
      <c r="H29" s="7" t="s">
        <v>36</v>
      </c>
      <c r="I29" s="7"/>
    </row>
    <row r="30" spans="1:9" ht="25.5" x14ac:dyDescent="0.25">
      <c r="A30" s="7" t="s">
        <v>58</v>
      </c>
      <c r="B30" s="7" t="s">
        <v>54</v>
      </c>
      <c r="C30" s="6" t="s">
        <v>59</v>
      </c>
      <c r="D30" s="6" t="s">
        <v>53</v>
      </c>
      <c r="E30" s="7" t="s">
        <v>33</v>
      </c>
      <c r="F30" s="7" t="s">
        <v>56</v>
      </c>
      <c r="G30" s="6" t="s">
        <v>32</v>
      </c>
      <c r="H30" s="7" t="s">
        <v>36</v>
      </c>
      <c r="I30" s="7"/>
    </row>
    <row r="31" spans="1:9" ht="25.5" x14ac:dyDescent="0.25">
      <c r="A31" s="7" t="s">
        <v>60</v>
      </c>
      <c r="B31" s="7" t="s">
        <v>61</v>
      </c>
      <c r="C31" s="6" t="s">
        <v>62</v>
      </c>
      <c r="D31" s="6" t="s">
        <v>32</v>
      </c>
      <c r="E31" s="7" t="s">
        <v>33</v>
      </c>
      <c r="F31" s="7" t="s">
        <v>63</v>
      </c>
      <c r="G31" s="6" t="s">
        <v>64</v>
      </c>
      <c r="H31" s="7" t="s">
        <v>36</v>
      </c>
      <c r="I31" s="7"/>
    </row>
    <row r="32" spans="1:9" ht="25.5" x14ac:dyDescent="0.25">
      <c r="A32" s="7" t="s">
        <v>65</v>
      </c>
      <c r="B32" s="7" t="s">
        <v>61</v>
      </c>
      <c r="C32" s="6" t="s">
        <v>66</v>
      </c>
      <c r="D32" s="6" t="s">
        <v>60</v>
      </c>
      <c r="E32" s="7" t="s">
        <v>33</v>
      </c>
      <c r="F32" s="7" t="s">
        <v>67</v>
      </c>
      <c r="G32" s="6" t="s">
        <v>68</v>
      </c>
      <c r="H32" s="7" t="s">
        <v>36</v>
      </c>
      <c r="I32" s="7"/>
    </row>
    <row r="33" spans="1:9" ht="25.5" x14ac:dyDescent="0.25">
      <c r="A33" s="7" t="s">
        <v>69</v>
      </c>
      <c r="B33" s="7" t="s">
        <v>61</v>
      </c>
      <c r="C33" s="6" t="s">
        <v>70</v>
      </c>
      <c r="D33" s="6" t="s">
        <v>65</v>
      </c>
      <c r="E33" s="7" t="s">
        <v>33</v>
      </c>
      <c r="F33" s="7" t="s">
        <v>67</v>
      </c>
      <c r="G33" s="6" t="s">
        <v>32</v>
      </c>
      <c r="H33" s="7" t="s">
        <v>36</v>
      </c>
      <c r="I33" s="7"/>
    </row>
    <row r="34" spans="1:9" x14ac:dyDescent="0.25">
      <c r="A34" s="7" t="s">
        <v>71</v>
      </c>
      <c r="B34" s="7" t="s">
        <v>61</v>
      </c>
      <c r="C34" s="6" t="s">
        <v>72</v>
      </c>
      <c r="D34" s="6" t="s">
        <v>65</v>
      </c>
      <c r="E34" s="7" t="s">
        <v>33</v>
      </c>
      <c r="F34" s="7" t="s">
        <v>67</v>
      </c>
      <c r="G34" s="6" t="s">
        <v>32</v>
      </c>
      <c r="H34" s="7" t="s">
        <v>46</v>
      </c>
      <c r="I34" s="7"/>
    </row>
    <row r="35" spans="1:9" ht="25.5" x14ac:dyDescent="0.25">
      <c r="A35" s="7" t="s">
        <v>73</v>
      </c>
      <c r="B35" s="7" t="s">
        <v>54</v>
      </c>
      <c r="C35" s="6" t="s">
        <v>74</v>
      </c>
      <c r="D35" s="6" t="s">
        <v>65</v>
      </c>
      <c r="E35" s="7" t="s">
        <v>33</v>
      </c>
      <c r="F35" s="7" t="s">
        <v>75</v>
      </c>
      <c r="G35" s="6" t="s">
        <v>32</v>
      </c>
      <c r="H35" s="7" t="s">
        <v>36</v>
      </c>
      <c r="I35" s="7"/>
    </row>
    <row r="36" spans="1:9" ht="38.25" x14ac:dyDescent="0.25">
      <c r="A36" s="7" t="s">
        <v>76</v>
      </c>
      <c r="B36" s="7" t="s">
        <v>54</v>
      </c>
      <c r="C36" s="6" t="s">
        <v>77</v>
      </c>
      <c r="D36" s="6" t="s">
        <v>32</v>
      </c>
      <c r="E36" s="7" t="s">
        <v>33</v>
      </c>
      <c r="F36" s="7" t="s">
        <v>78</v>
      </c>
      <c r="G36" s="6" t="s">
        <v>79</v>
      </c>
      <c r="H36" s="7" t="s">
        <v>36</v>
      </c>
      <c r="I36" s="7"/>
    </row>
    <row r="37" spans="1:9" ht="25.5" x14ac:dyDescent="0.25">
      <c r="A37" s="7" t="s">
        <v>80</v>
      </c>
      <c r="B37" s="7" t="s">
        <v>54</v>
      </c>
      <c r="C37" s="6" t="s">
        <v>81</v>
      </c>
      <c r="D37" s="6" t="s">
        <v>82</v>
      </c>
      <c r="E37" s="7" t="s">
        <v>33</v>
      </c>
      <c r="F37" s="7" t="s">
        <v>83</v>
      </c>
      <c r="G37" s="6" t="s">
        <v>32</v>
      </c>
      <c r="H37" s="7" t="s">
        <v>36</v>
      </c>
      <c r="I37" s="7"/>
    </row>
    <row r="38" spans="1:9" ht="25.5" x14ac:dyDescent="0.25">
      <c r="A38" s="7" t="s">
        <v>84</v>
      </c>
      <c r="B38" s="7" t="s">
        <v>54</v>
      </c>
      <c r="C38" s="6" t="s">
        <v>85</v>
      </c>
      <c r="D38" s="6" t="s">
        <v>80</v>
      </c>
      <c r="E38" s="7" t="s">
        <v>33</v>
      </c>
      <c r="F38" s="7" t="s">
        <v>83</v>
      </c>
      <c r="G38" s="6" t="s">
        <v>32</v>
      </c>
      <c r="H38" s="7" t="s">
        <v>36</v>
      </c>
      <c r="I38" s="7"/>
    </row>
    <row r="39" spans="1:9" x14ac:dyDescent="0.25">
      <c r="A39" s="7" t="s">
        <v>86</v>
      </c>
      <c r="B39" s="7" t="s">
        <v>54</v>
      </c>
      <c r="C39" s="6" t="s">
        <v>87</v>
      </c>
      <c r="D39" s="6" t="s">
        <v>88</v>
      </c>
      <c r="E39" s="7" t="s">
        <v>33</v>
      </c>
      <c r="F39" s="7" t="s">
        <v>89</v>
      </c>
      <c r="G39" s="6" t="s">
        <v>32</v>
      </c>
      <c r="H39" s="7" t="s">
        <v>46</v>
      </c>
      <c r="I39" s="7"/>
    </row>
    <row r="40" spans="1:9" ht="25.5" x14ac:dyDescent="0.25">
      <c r="A40" s="7" t="s">
        <v>90</v>
      </c>
      <c r="B40" s="7" t="s">
        <v>91</v>
      </c>
      <c r="C40" s="6" t="s">
        <v>92</v>
      </c>
      <c r="D40" s="6" t="s">
        <v>32</v>
      </c>
      <c r="E40" s="7" t="s">
        <v>33</v>
      </c>
      <c r="F40" s="7" t="s">
        <v>32</v>
      </c>
      <c r="G40" s="6" t="s">
        <v>93</v>
      </c>
      <c r="H40" s="7" t="s">
        <v>36</v>
      </c>
      <c r="I40" s="7"/>
    </row>
    <row r="41" spans="1:9" ht="25.5" x14ac:dyDescent="0.25">
      <c r="A41" s="7" t="s">
        <v>94</v>
      </c>
      <c r="B41" s="7" t="s">
        <v>91</v>
      </c>
      <c r="C41" s="6" t="s">
        <v>95</v>
      </c>
      <c r="D41" s="6" t="s">
        <v>90</v>
      </c>
      <c r="E41" s="7" t="s">
        <v>33</v>
      </c>
      <c r="F41" s="7" t="s">
        <v>96</v>
      </c>
      <c r="G41" s="6" t="s">
        <v>97</v>
      </c>
      <c r="H41" s="7" t="s">
        <v>46</v>
      </c>
      <c r="I41" s="7"/>
    </row>
    <row r="42" spans="1:9" ht="25.5" x14ac:dyDescent="0.25">
      <c r="A42" s="7" t="s">
        <v>98</v>
      </c>
      <c r="B42" s="7" t="s">
        <v>91</v>
      </c>
      <c r="C42" s="6" t="s">
        <v>99</v>
      </c>
      <c r="D42" s="6" t="s">
        <v>94</v>
      </c>
      <c r="E42" s="7" t="s">
        <v>33</v>
      </c>
      <c r="F42" s="7" t="s">
        <v>96</v>
      </c>
      <c r="G42" s="6" t="s">
        <v>100</v>
      </c>
      <c r="H42" s="7" t="s">
        <v>46</v>
      </c>
      <c r="I42" s="7"/>
    </row>
    <row r="43" spans="1:9" ht="25.5" x14ac:dyDescent="0.25">
      <c r="A43" s="7" t="s">
        <v>101</v>
      </c>
      <c r="B43" s="7" t="s">
        <v>91</v>
      </c>
      <c r="C43" s="6" t="s">
        <v>102</v>
      </c>
      <c r="D43" s="6" t="s">
        <v>98</v>
      </c>
      <c r="E43" s="7" t="s">
        <v>33</v>
      </c>
      <c r="F43" s="7" t="s">
        <v>103</v>
      </c>
      <c r="G43" s="6" t="s">
        <v>32</v>
      </c>
      <c r="H43" s="7" t="s">
        <v>46</v>
      </c>
      <c r="I43" s="7"/>
    </row>
    <row r="44" spans="1:9" ht="25.5" x14ac:dyDescent="0.25">
      <c r="A44" s="7" t="s">
        <v>104</v>
      </c>
      <c r="B44" s="7" t="s">
        <v>91</v>
      </c>
      <c r="C44" s="6" t="s">
        <v>105</v>
      </c>
      <c r="D44" s="6" t="s">
        <v>106</v>
      </c>
      <c r="E44" s="7" t="s">
        <v>33</v>
      </c>
      <c r="F44" s="7" t="s">
        <v>107</v>
      </c>
      <c r="G44" s="6" t="s">
        <v>108</v>
      </c>
      <c r="H44" s="7" t="s">
        <v>46</v>
      </c>
      <c r="I44" s="7"/>
    </row>
    <row r="45" spans="1:9" ht="25.5" x14ac:dyDescent="0.25">
      <c r="A45" s="7" t="s">
        <v>109</v>
      </c>
      <c r="B45" s="7" t="s">
        <v>91</v>
      </c>
      <c r="C45" s="6" t="s">
        <v>110</v>
      </c>
      <c r="D45" s="6" t="s">
        <v>111</v>
      </c>
      <c r="E45" s="7" t="s">
        <v>33</v>
      </c>
      <c r="F45" s="7" t="s">
        <v>107</v>
      </c>
      <c r="G45" s="6" t="s">
        <v>32</v>
      </c>
      <c r="H45" s="7" t="s">
        <v>46</v>
      </c>
      <c r="I45" s="7"/>
    </row>
    <row r="47" spans="1:9" x14ac:dyDescent="0.25">
      <c r="A47" s="18" t="s">
        <v>112</v>
      </c>
      <c r="B47" s="19"/>
      <c r="C47" s="19"/>
      <c r="D47" s="19"/>
      <c r="E47" s="19"/>
      <c r="F47" s="19"/>
      <c r="G47" s="19"/>
      <c r="H47" s="19"/>
      <c r="I47" s="17"/>
    </row>
    <row r="48" spans="1:9" x14ac:dyDescent="0.25">
      <c r="A48" s="4" t="s">
        <v>9</v>
      </c>
      <c r="B48" s="4" t="s">
        <v>11</v>
      </c>
      <c r="C48" s="4" t="s">
        <v>13</v>
      </c>
      <c r="D48" s="4" t="s">
        <v>15</v>
      </c>
      <c r="E48" s="4" t="s">
        <v>17</v>
      </c>
      <c r="F48" s="4" t="s">
        <v>19</v>
      </c>
      <c r="G48" s="4" t="s">
        <v>28</v>
      </c>
      <c r="H48" s="4" t="s">
        <v>23</v>
      </c>
      <c r="I48" s="4" t="s">
        <v>25</v>
      </c>
    </row>
    <row r="49" spans="1:9" ht="38.25" x14ac:dyDescent="0.25">
      <c r="A49" s="7" t="s">
        <v>113</v>
      </c>
      <c r="B49" s="7" t="s">
        <v>30</v>
      </c>
      <c r="C49" s="6" t="s">
        <v>114</v>
      </c>
      <c r="D49" s="6" t="s">
        <v>32</v>
      </c>
      <c r="E49" s="7" t="s">
        <v>115</v>
      </c>
      <c r="F49" s="7" t="s">
        <v>116</v>
      </c>
      <c r="G49" s="6" t="s">
        <v>117</v>
      </c>
      <c r="H49" s="7" t="s">
        <v>36</v>
      </c>
      <c r="I49" s="7"/>
    </row>
    <row r="50" spans="1:9" ht="25.5" x14ac:dyDescent="0.25">
      <c r="A50" s="7" t="s">
        <v>118</v>
      </c>
      <c r="B50" s="7" t="s">
        <v>30</v>
      </c>
      <c r="C50" s="6" t="s">
        <v>119</v>
      </c>
      <c r="D50" s="6" t="s">
        <v>120</v>
      </c>
      <c r="E50" s="7" t="s">
        <v>33</v>
      </c>
      <c r="F50" s="7" t="s">
        <v>32</v>
      </c>
      <c r="G50" s="6" t="s">
        <v>32</v>
      </c>
      <c r="H50" s="7" t="s">
        <v>36</v>
      </c>
      <c r="I50" s="7"/>
    </row>
    <row r="51" spans="1:9" ht="25.5" x14ac:dyDescent="0.25">
      <c r="A51" s="7" t="s">
        <v>121</v>
      </c>
      <c r="B51" s="7" t="s">
        <v>30</v>
      </c>
      <c r="C51" s="6" t="s">
        <v>122</v>
      </c>
      <c r="D51" s="6" t="s">
        <v>113</v>
      </c>
      <c r="E51" s="7" t="s">
        <v>115</v>
      </c>
      <c r="F51" s="7" t="s">
        <v>123</v>
      </c>
      <c r="G51" s="6" t="s">
        <v>124</v>
      </c>
      <c r="H51" s="7" t="s">
        <v>46</v>
      </c>
      <c r="I51" s="7"/>
    </row>
    <row r="52" spans="1:9" ht="25.5" x14ac:dyDescent="0.25">
      <c r="A52" s="7" t="s">
        <v>125</v>
      </c>
      <c r="B52" s="7" t="s">
        <v>126</v>
      </c>
      <c r="C52" s="6" t="s">
        <v>127</v>
      </c>
      <c r="D52" s="6" t="s">
        <v>128</v>
      </c>
      <c r="E52" s="7" t="s">
        <v>33</v>
      </c>
      <c r="F52" s="7" t="s">
        <v>32</v>
      </c>
      <c r="G52" s="6" t="s">
        <v>129</v>
      </c>
      <c r="H52" s="7" t="s">
        <v>36</v>
      </c>
      <c r="I52" s="7"/>
    </row>
    <row r="53" spans="1:9" ht="25.5" x14ac:dyDescent="0.25">
      <c r="A53" s="7" t="s">
        <v>130</v>
      </c>
      <c r="B53" s="7" t="s">
        <v>126</v>
      </c>
      <c r="C53" s="6" t="s">
        <v>131</v>
      </c>
      <c r="D53" s="6" t="s">
        <v>125</v>
      </c>
      <c r="E53" s="7" t="s">
        <v>33</v>
      </c>
      <c r="F53" s="7" t="s">
        <v>32</v>
      </c>
      <c r="G53" s="6" t="s">
        <v>32</v>
      </c>
      <c r="H53" s="7" t="s">
        <v>36</v>
      </c>
      <c r="I53" s="7"/>
    </row>
    <row r="54" spans="1:9" ht="25.5" x14ac:dyDescent="0.25">
      <c r="A54" s="7" t="s">
        <v>132</v>
      </c>
      <c r="B54" s="7" t="s">
        <v>61</v>
      </c>
      <c r="C54" s="6" t="s">
        <v>133</v>
      </c>
      <c r="D54" s="6" t="s">
        <v>130</v>
      </c>
      <c r="E54" s="7" t="s">
        <v>33</v>
      </c>
      <c r="F54" s="7" t="s">
        <v>32</v>
      </c>
      <c r="G54" s="6" t="s">
        <v>134</v>
      </c>
      <c r="H54" s="7" t="s">
        <v>46</v>
      </c>
      <c r="I54" s="7"/>
    </row>
    <row r="55" spans="1:9" x14ac:dyDescent="0.25">
      <c r="A55" s="7" t="s">
        <v>135</v>
      </c>
      <c r="B55" s="7" t="s">
        <v>61</v>
      </c>
      <c r="C55" s="6" t="s">
        <v>136</v>
      </c>
      <c r="D55" s="6" t="s">
        <v>132</v>
      </c>
      <c r="E55" s="7" t="s">
        <v>33</v>
      </c>
      <c r="F55" s="7" t="s">
        <v>32</v>
      </c>
      <c r="G55" s="6" t="s">
        <v>32</v>
      </c>
      <c r="H55" s="7" t="s">
        <v>137</v>
      </c>
      <c r="I55" s="7"/>
    </row>
    <row r="56" spans="1:9" x14ac:dyDescent="0.25">
      <c r="A56" s="7" t="s">
        <v>138</v>
      </c>
      <c r="B56" s="7" t="s">
        <v>61</v>
      </c>
      <c r="C56" s="6" t="s">
        <v>139</v>
      </c>
      <c r="D56" s="6" t="s">
        <v>132</v>
      </c>
      <c r="E56" s="7" t="s">
        <v>33</v>
      </c>
      <c r="F56" s="7" t="s">
        <v>32</v>
      </c>
      <c r="G56" s="6" t="s">
        <v>32</v>
      </c>
      <c r="H56" s="7" t="s">
        <v>46</v>
      </c>
      <c r="I56" s="7"/>
    </row>
    <row r="58" spans="1:9" x14ac:dyDescent="0.25">
      <c r="A58" s="18" t="s">
        <v>140</v>
      </c>
      <c r="B58" s="19"/>
      <c r="C58" s="19"/>
      <c r="D58" s="19"/>
      <c r="E58" s="19"/>
      <c r="F58" s="19"/>
      <c r="G58" s="19"/>
      <c r="H58" s="19"/>
      <c r="I58" s="17"/>
    </row>
    <row r="59" spans="1:9" x14ac:dyDescent="0.25">
      <c r="A59" s="4" t="s">
        <v>9</v>
      </c>
      <c r="B59" s="4" t="s">
        <v>11</v>
      </c>
      <c r="C59" s="4" t="s">
        <v>13</v>
      </c>
      <c r="D59" s="4" t="s">
        <v>15</v>
      </c>
      <c r="E59" s="4" t="s">
        <v>17</v>
      </c>
      <c r="F59" s="4" t="s">
        <v>19</v>
      </c>
      <c r="G59" s="4" t="s">
        <v>28</v>
      </c>
      <c r="H59" s="4" t="s">
        <v>23</v>
      </c>
      <c r="I59" s="4" t="s">
        <v>25</v>
      </c>
    </row>
    <row r="60" spans="1:9" ht="25.5" x14ac:dyDescent="0.25">
      <c r="A60" s="7" t="s">
        <v>141</v>
      </c>
      <c r="B60" s="7" t="s">
        <v>30</v>
      </c>
      <c r="C60" s="6" t="s">
        <v>142</v>
      </c>
      <c r="D60" s="6" t="s">
        <v>113</v>
      </c>
      <c r="E60" s="7" t="s">
        <v>115</v>
      </c>
      <c r="F60" s="7" t="s">
        <v>123</v>
      </c>
      <c r="G60" s="6" t="s">
        <v>143</v>
      </c>
      <c r="H60" s="7" t="s">
        <v>36</v>
      </c>
      <c r="I60" s="7"/>
    </row>
    <row r="61" spans="1:9" ht="25.5" x14ac:dyDescent="0.25">
      <c r="A61" s="7" t="s">
        <v>144</v>
      </c>
      <c r="B61" s="7" t="s">
        <v>30</v>
      </c>
      <c r="C61" s="6" t="s">
        <v>145</v>
      </c>
      <c r="D61" s="6" t="s">
        <v>146</v>
      </c>
      <c r="E61" s="7" t="s">
        <v>115</v>
      </c>
      <c r="F61" s="7" t="s">
        <v>32</v>
      </c>
      <c r="G61" s="6" t="s">
        <v>147</v>
      </c>
      <c r="H61" s="7" t="s">
        <v>36</v>
      </c>
      <c r="I61" s="7"/>
    </row>
    <row r="62" spans="1:9" ht="25.5" x14ac:dyDescent="0.25">
      <c r="A62" s="7" t="s">
        <v>148</v>
      </c>
      <c r="B62" s="7" t="s">
        <v>126</v>
      </c>
      <c r="C62" s="6" t="s">
        <v>149</v>
      </c>
      <c r="D62" s="6" t="s">
        <v>141</v>
      </c>
      <c r="E62" s="7" t="s">
        <v>33</v>
      </c>
      <c r="F62" s="7" t="s">
        <v>32</v>
      </c>
      <c r="G62" s="6" t="s">
        <v>150</v>
      </c>
      <c r="H62" s="7" t="s">
        <v>36</v>
      </c>
      <c r="I62" s="7"/>
    </row>
    <row r="63" spans="1:9" ht="25.5" x14ac:dyDescent="0.25">
      <c r="A63" s="7" t="s">
        <v>151</v>
      </c>
      <c r="B63" s="7" t="s">
        <v>126</v>
      </c>
      <c r="C63" s="6" t="s">
        <v>152</v>
      </c>
      <c r="D63" s="6" t="s">
        <v>148</v>
      </c>
      <c r="E63" s="7" t="s">
        <v>115</v>
      </c>
      <c r="F63" s="7" t="s">
        <v>32</v>
      </c>
      <c r="G63" s="6" t="s">
        <v>153</v>
      </c>
      <c r="H63" s="7" t="s">
        <v>36</v>
      </c>
      <c r="I63" s="7"/>
    </row>
    <row r="64" spans="1:9" ht="25.5" x14ac:dyDescent="0.25">
      <c r="A64" s="7" t="s">
        <v>154</v>
      </c>
      <c r="B64" s="7" t="s">
        <v>126</v>
      </c>
      <c r="C64" s="6" t="s">
        <v>155</v>
      </c>
      <c r="D64" s="6" t="s">
        <v>32</v>
      </c>
      <c r="E64" s="7" t="s">
        <v>33</v>
      </c>
      <c r="F64" s="7" t="s">
        <v>32</v>
      </c>
      <c r="G64" s="6" t="s">
        <v>156</v>
      </c>
      <c r="H64" s="7" t="s">
        <v>36</v>
      </c>
      <c r="I64" s="7"/>
    </row>
    <row r="65" spans="1:9" ht="25.5" x14ac:dyDescent="0.25">
      <c r="A65" s="7" t="s">
        <v>157</v>
      </c>
      <c r="B65" s="7" t="s">
        <v>61</v>
      </c>
      <c r="C65" s="6" t="s">
        <v>158</v>
      </c>
      <c r="D65" s="6" t="s">
        <v>151</v>
      </c>
      <c r="E65" s="7" t="s">
        <v>115</v>
      </c>
      <c r="F65" s="7" t="s">
        <v>32</v>
      </c>
      <c r="G65" s="6" t="s">
        <v>159</v>
      </c>
      <c r="H65" s="7" t="s">
        <v>46</v>
      </c>
      <c r="I65" s="7"/>
    </row>
    <row r="66" spans="1:9" x14ac:dyDescent="0.25">
      <c r="A66" s="7" t="s">
        <v>160</v>
      </c>
      <c r="B66" s="7" t="s">
        <v>61</v>
      </c>
      <c r="C66" s="6" t="s">
        <v>161</v>
      </c>
      <c r="D66" s="6" t="s">
        <v>148</v>
      </c>
      <c r="E66" s="7" t="s">
        <v>33</v>
      </c>
      <c r="F66" s="7" t="s">
        <v>32</v>
      </c>
      <c r="G66" s="6" t="s">
        <v>162</v>
      </c>
      <c r="H66" s="7" t="s">
        <v>137</v>
      </c>
      <c r="I66" s="7"/>
    </row>
    <row r="68" spans="1:9" x14ac:dyDescent="0.25">
      <c r="A68" s="18" t="s">
        <v>163</v>
      </c>
      <c r="B68" s="19"/>
      <c r="C68" s="19"/>
      <c r="D68" s="19"/>
      <c r="E68" s="19"/>
      <c r="F68" s="19"/>
      <c r="G68" s="19"/>
      <c r="H68" s="19"/>
      <c r="I68" s="17"/>
    </row>
    <row r="69" spans="1:9" x14ac:dyDescent="0.25">
      <c r="A69" s="4" t="s">
        <v>9</v>
      </c>
      <c r="B69" s="4" t="s">
        <v>11</v>
      </c>
      <c r="C69" s="4" t="s">
        <v>13</v>
      </c>
      <c r="D69" s="4" t="s">
        <v>15</v>
      </c>
      <c r="E69" s="4" t="s">
        <v>17</v>
      </c>
      <c r="F69" s="4" t="s">
        <v>19</v>
      </c>
      <c r="G69" s="4" t="s">
        <v>28</v>
      </c>
      <c r="H69" s="4" t="s">
        <v>23</v>
      </c>
      <c r="I69" s="4" t="s">
        <v>25</v>
      </c>
    </row>
    <row r="70" spans="1:9" ht="25.5" x14ac:dyDescent="0.25">
      <c r="A70" s="7" t="s">
        <v>164</v>
      </c>
      <c r="B70" s="7" t="s">
        <v>30</v>
      </c>
      <c r="C70" s="6" t="s">
        <v>165</v>
      </c>
      <c r="D70" s="6" t="s">
        <v>166</v>
      </c>
      <c r="E70" s="7" t="s">
        <v>33</v>
      </c>
      <c r="F70" s="7" t="s">
        <v>32</v>
      </c>
      <c r="G70" s="6" t="s">
        <v>32</v>
      </c>
      <c r="H70" s="7" t="s">
        <v>46</v>
      </c>
      <c r="I70" s="7"/>
    </row>
    <row r="71" spans="1:9" ht="25.5" x14ac:dyDescent="0.25">
      <c r="A71" s="7" t="s">
        <v>167</v>
      </c>
      <c r="B71" s="7" t="s">
        <v>30</v>
      </c>
      <c r="C71" s="6" t="s">
        <v>168</v>
      </c>
      <c r="D71" s="6" t="s">
        <v>76</v>
      </c>
      <c r="E71" s="7" t="s">
        <v>33</v>
      </c>
      <c r="F71" s="7" t="s">
        <v>32</v>
      </c>
      <c r="G71" s="6" t="s">
        <v>169</v>
      </c>
      <c r="H71" s="7" t="s">
        <v>46</v>
      </c>
      <c r="I71" s="7"/>
    </row>
    <row r="72" spans="1:9" x14ac:dyDescent="0.25">
      <c r="A72" s="7" t="s">
        <v>170</v>
      </c>
      <c r="B72" s="7" t="s">
        <v>30</v>
      </c>
      <c r="C72" s="6" t="s">
        <v>171</v>
      </c>
      <c r="D72" s="6" t="s">
        <v>164</v>
      </c>
      <c r="E72" s="7" t="s">
        <v>33</v>
      </c>
      <c r="F72" s="7" t="s">
        <v>32</v>
      </c>
      <c r="G72" s="6" t="s">
        <v>172</v>
      </c>
      <c r="H72" s="7" t="s">
        <v>46</v>
      </c>
      <c r="I72" s="7"/>
    </row>
    <row r="73" spans="1:9" x14ac:dyDescent="0.25">
      <c r="A73" s="7" t="s">
        <v>173</v>
      </c>
      <c r="B73" s="7" t="s">
        <v>126</v>
      </c>
      <c r="C73" s="6" t="s">
        <v>174</v>
      </c>
      <c r="D73" s="6" t="s">
        <v>175</v>
      </c>
      <c r="E73" s="7" t="s">
        <v>33</v>
      </c>
      <c r="F73" s="7" t="s">
        <v>32</v>
      </c>
      <c r="G73" s="6" t="s">
        <v>176</v>
      </c>
      <c r="H73" s="7" t="s">
        <v>137</v>
      </c>
      <c r="I73" s="7"/>
    </row>
    <row r="74" spans="1:9" ht="25.5" x14ac:dyDescent="0.25">
      <c r="A74" s="7" t="s">
        <v>177</v>
      </c>
      <c r="B74" s="7" t="s">
        <v>178</v>
      </c>
      <c r="C74" s="6" t="s">
        <v>179</v>
      </c>
      <c r="D74" s="6" t="s">
        <v>164</v>
      </c>
      <c r="E74" s="7" t="s">
        <v>33</v>
      </c>
      <c r="F74" s="7" t="s">
        <v>32</v>
      </c>
      <c r="G74" s="6" t="s">
        <v>180</v>
      </c>
      <c r="H74" s="7" t="s">
        <v>46</v>
      </c>
      <c r="I74" s="7"/>
    </row>
    <row r="75" spans="1:9" ht="25.5" x14ac:dyDescent="0.25">
      <c r="A75" s="7" t="s">
        <v>181</v>
      </c>
      <c r="B75" s="7" t="s">
        <v>178</v>
      </c>
      <c r="C75" s="6" t="s">
        <v>182</v>
      </c>
      <c r="D75" s="6" t="s">
        <v>164</v>
      </c>
      <c r="E75" s="7" t="s">
        <v>33</v>
      </c>
      <c r="F75" s="7" t="s">
        <v>32</v>
      </c>
      <c r="G75" s="6" t="s">
        <v>183</v>
      </c>
      <c r="H75" s="7" t="s">
        <v>36</v>
      </c>
      <c r="I75" s="7"/>
    </row>
    <row r="77" spans="1:9" x14ac:dyDescent="0.25">
      <c r="A77" s="18" t="s">
        <v>184</v>
      </c>
      <c r="B77" s="19"/>
      <c r="C77" s="19"/>
      <c r="D77" s="19"/>
      <c r="E77" s="19"/>
      <c r="F77" s="19"/>
      <c r="G77" s="19"/>
      <c r="H77" s="19"/>
      <c r="I77" s="17"/>
    </row>
    <row r="78" spans="1:9" x14ac:dyDescent="0.25">
      <c r="A78" s="4" t="s">
        <v>9</v>
      </c>
      <c r="B78" s="4" t="s">
        <v>11</v>
      </c>
      <c r="C78" s="4" t="s">
        <v>13</v>
      </c>
      <c r="D78" s="4" t="s">
        <v>15</v>
      </c>
      <c r="E78" s="4" t="s">
        <v>17</v>
      </c>
      <c r="F78" s="4" t="s">
        <v>19</v>
      </c>
      <c r="G78" s="4" t="s">
        <v>28</v>
      </c>
      <c r="H78" s="4" t="s">
        <v>23</v>
      </c>
      <c r="I78" s="4" t="s">
        <v>25</v>
      </c>
    </row>
    <row r="79" spans="1:9" x14ac:dyDescent="0.25">
      <c r="A79" s="7" t="s">
        <v>185</v>
      </c>
      <c r="B79" s="7" t="s">
        <v>30</v>
      </c>
      <c r="C79" s="6" t="s">
        <v>186</v>
      </c>
      <c r="D79" s="6" t="s">
        <v>187</v>
      </c>
      <c r="E79" s="7" t="s">
        <v>33</v>
      </c>
      <c r="F79" s="7" t="s">
        <v>32</v>
      </c>
      <c r="G79" s="6" t="s">
        <v>188</v>
      </c>
      <c r="H79" s="7" t="s">
        <v>46</v>
      </c>
      <c r="I79" s="7"/>
    </row>
    <row r="80" spans="1:9" ht="25.5" x14ac:dyDescent="0.25">
      <c r="A80" s="7" t="s">
        <v>189</v>
      </c>
      <c r="B80" s="7" t="s">
        <v>126</v>
      </c>
      <c r="C80" s="6" t="s">
        <v>190</v>
      </c>
      <c r="D80" s="6" t="s">
        <v>32</v>
      </c>
      <c r="E80" s="7" t="s">
        <v>33</v>
      </c>
      <c r="F80" s="7" t="s">
        <v>32</v>
      </c>
      <c r="G80" s="6" t="s">
        <v>32</v>
      </c>
      <c r="H80" s="7" t="s">
        <v>46</v>
      </c>
      <c r="I80" s="7"/>
    </row>
    <row r="81" spans="1:9" x14ac:dyDescent="0.25">
      <c r="A81" s="7" t="s">
        <v>191</v>
      </c>
      <c r="B81" s="7" t="s">
        <v>126</v>
      </c>
      <c r="C81" s="6" t="s">
        <v>192</v>
      </c>
      <c r="D81" s="6" t="s">
        <v>189</v>
      </c>
      <c r="E81" s="7" t="s">
        <v>33</v>
      </c>
      <c r="F81" s="7" t="s">
        <v>32</v>
      </c>
      <c r="G81" s="6" t="s">
        <v>193</v>
      </c>
      <c r="H81" s="7" t="s">
        <v>46</v>
      </c>
      <c r="I81" s="7"/>
    </row>
    <row r="82" spans="1:9" x14ac:dyDescent="0.25">
      <c r="A82" s="7" t="s">
        <v>194</v>
      </c>
      <c r="B82" s="7" t="s">
        <v>126</v>
      </c>
      <c r="C82" s="6" t="s">
        <v>195</v>
      </c>
      <c r="D82" s="6" t="s">
        <v>196</v>
      </c>
      <c r="E82" s="7" t="s">
        <v>33</v>
      </c>
      <c r="F82" s="7" t="s">
        <v>32</v>
      </c>
      <c r="G82" s="6" t="s">
        <v>197</v>
      </c>
      <c r="H82" s="7" t="s">
        <v>46</v>
      </c>
      <c r="I82" s="7"/>
    </row>
    <row r="83" spans="1:9" x14ac:dyDescent="0.25">
      <c r="A83" s="7" t="s">
        <v>198</v>
      </c>
      <c r="B83" s="7" t="s">
        <v>61</v>
      </c>
      <c r="C83" s="6" t="s">
        <v>199</v>
      </c>
      <c r="D83" s="6" t="s">
        <v>189</v>
      </c>
      <c r="E83" s="7" t="s">
        <v>33</v>
      </c>
      <c r="F83" s="7" t="s">
        <v>32</v>
      </c>
      <c r="G83" s="6" t="s">
        <v>200</v>
      </c>
      <c r="H83" s="7" t="s">
        <v>46</v>
      </c>
      <c r="I83" s="7"/>
    </row>
    <row r="84" spans="1:9" x14ac:dyDescent="0.25">
      <c r="A84" s="7" t="s">
        <v>201</v>
      </c>
      <c r="B84" s="7" t="s">
        <v>61</v>
      </c>
      <c r="C84" s="6" t="s">
        <v>202</v>
      </c>
      <c r="D84" s="6" t="s">
        <v>198</v>
      </c>
      <c r="E84" s="7" t="s">
        <v>33</v>
      </c>
      <c r="F84" s="7" t="s">
        <v>32</v>
      </c>
      <c r="G84" s="6" t="s">
        <v>32</v>
      </c>
      <c r="H84" s="7" t="s">
        <v>46</v>
      </c>
      <c r="I84" s="7"/>
    </row>
    <row r="85" spans="1:9" x14ac:dyDescent="0.25">
      <c r="A85" s="7" t="s">
        <v>203</v>
      </c>
      <c r="B85" s="7" t="s">
        <v>54</v>
      </c>
      <c r="C85" s="6" t="s">
        <v>204</v>
      </c>
      <c r="D85" s="6" t="s">
        <v>198</v>
      </c>
      <c r="E85" s="7" t="s">
        <v>33</v>
      </c>
      <c r="F85" s="7" t="s">
        <v>32</v>
      </c>
      <c r="G85" s="6" t="s">
        <v>205</v>
      </c>
      <c r="H85" s="7" t="s">
        <v>46</v>
      </c>
      <c r="I85" s="7"/>
    </row>
    <row r="86" spans="1:9" x14ac:dyDescent="0.25">
      <c r="A86" s="7" t="s">
        <v>206</v>
      </c>
      <c r="B86" s="7" t="s">
        <v>54</v>
      </c>
      <c r="C86" s="6" t="s">
        <v>207</v>
      </c>
      <c r="D86" s="6" t="s">
        <v>203</v>
      </c>
      <c r="E86" s="7" t="s">
        <v>33</v>
      </c>
      <c r="F86" s="7" t="s">
        <v>32</v>
      </c>
      <c r="G86" s="6" t="s">
        <v>208</v>
      </c>
      <c r="H86" s="7" t="s">
        <v>46</v>
      </c>
      <c r="I86" s="7"/>
    </row>
    <row r="87" spans="1:9" x14ac:dyDescent="0.25">
      <c r="A87" s="7" t="s">
        <v>209</v>
      </c>
      <c r="B87" s="7" t="s">
        <v>54</v>
      </c>
      <c r="C87" s="6" t="s">
        <v>210</v>
      </c>
      <c r="D87" s="6" t="s">
        <v>203</v>
      </c>
      <c r="E87" s="7" t="s">
        <v>33</v>
      </c>
      <c r="F87" s="7" t="s">
        <v>32</v>
      </c>
      <c r="G87" s="6" t="s">
        <v>211</v>
      </c>
      <c r="H87" s="7" t="s">
        <v>137</v>
      </c>
      <c r="I87" s="7"/>
    </row>
    <row r="89" spans="1:9" x14ac:dyDescent="0.25">
      <c r="A89" s="18" t="s">
        <v>212</v>
      </c>
      <c r="B89" s="19"/>
      <c r="C89" s="19"/>
      <c r="D89" s="19"/>
      <c r="E89" s="19"/>
      <c r="F89" s="19"/>
      <c r="G89" s="19"/>
      <c r="H89" s="19"/>
      <c r="I89" s="17"/>
    </row>
    <row r="90" spans="1:9" x14ac:dyDescent="0.25">
      <c r="A90" s="4" t="s">
        <v>9</v>
      </c>
      <c r="B90" s="4" t="s">
        <v>11</v>
      </c>
      <c r="C90" s="4" t="s">
        <v>13</v>
      </c>
      <c r="D90" s="4" t="s">
        <v>15</v>
      </c>
      <c r="E90" s="4" t="s">
        <v>17</v>
      </c>
      <c r="F90" s="4" t="s">
        <v>19</v>
      </c>
      <c r="G90" s="4" t="s">
        <v>28</v>
      </c>
      <c r="H90" s="4" t="s">
        <v>23</v>
      </c>
      <c r="I90" s="4" t="s">
        <v>25</v>
      </c>
    </row>
    <row r="91" spans="1:9" ht="25.5" x14ac:dyDescent="0.25">
      <c r="A91" s="7" t="s">
        <v>213</v>
      </c>
      <c r="B91" s="7" t="s">
        <v>30</v>
      </c>
      <c r="C91" s="6" t="s">
        <v>214</v>
      </c>
      <c r="D91" s="6" t="s">
        <v>194</v>
      </c>
      <c r="E91" s="7" t="s">
        <v>33</v>
      </c>
      <c r="F91" s="7" t="s">
        <v>32</v>
      </c>
      <c r="G91" s="6" t="s">
        <v>215</v>
      </c>
      <c r="H91" s="7" t="s">
        <v>137</v>
      </c>
      <c r="I91" s="7"/>
    </row>
    <row r="92" spans="1:9" x14ac:dyDescent="0.25">
      <c r="A92" s="7" t="s">
        <v>216</v>
      </c>
      <c r="B92" s="7" t="s">
        <v>30</v>
      </c>
      <c r="C92" s="6" t="s">
        <v>217</v>
      </c>
      <c r="D92" s="6" t="s">
        <v>213</v>
      </c>
      <c r="E92" s="7" t="s">
        <v>33</v>
      </c>
      <c r="F92" s="7" t="s">
        <v>32</v>
      </c>
      <c r="G92" s="6" t="s">
        <v>218</v>
      </c>
      <c r="H92" s="7" t="s">
        <v>137</v>
      </c>
      <c r="I92" s="7"/>
    </row>
    <row r="93" spans="1:9" x14ac:dyDescent="0.25">
      <c r="A93" s="7" t="s">
        <v>219</v>
      </c>
      <c r="B93" s="7" t="s">
        <v>30</v>
      </c>
      <c r="C93" s="6" t="s">
        <v>220</v>
      </c>
      <c r="D93" s="6" t="s">
        <v>213</v>
      </c>
      <c r="E93" s="7" t="s">
        <v>33</v>
      </c>
      <c r="F93" s="7" t="s">
        <v>32</v>
      </c>
      <c r="G93" s="6" t="s">
        <v>221</v>
      </c>
      <c r="H93" s="7" t="s">
        <v>137</v>
      </c>
      <c r="I93" s="7"/>
    </row>
    <row r="94" spans="1:9" x14ac:dyDescent="0.25">
      <c r="A94" s="7" t="s">
        <v>222</v>
      </c>
      <c r="B94" s="7" t="s">
        <v>126</v>
      </c>
      <c r="C94" s="6" t="s">
        <v>223</v>
      </c>
      <c r="D94" s="6" t="s">
        <v>213</v>
      </c>
      <c r="E94" s="7" t="s">
        <v>33</v>
      </c>
      <c r="F94" s="7" t="s">
        <v>32</v>
      </c>
      <c r="G94" s="6" t="s">
        <v>224</v>
      </c>
      <c r="H94" s="7" t="s">
        <v>137</v>
      </c>
      <c r="I94" s="7"/>
    </row>
    <row r="96" spans="1:9" x14ac:dyDescent="0.25">
      <c r="A96" s="18" t="s">
        <v>225</v>
      </c>
      <c r="B96" s="19"/>
      <c r="C96" s="19"/>
      <c r="D96" s="19"/>
      <c r="E96" s="19"/>
      <c r="F96" s="19"/>
      <c r="G96" s="19"/>
      <c r="H96" s="19"/>
      <c r="I96" s="17"/>
    </row>
    <row r="97" spans="1:9" x14ac:dyDescent="0.25">
      <c r="A97" s="4" t="s">
        <v>9</v>
      </c>
      <c r="B97" s="4" t="s">
        <v>11</v>
      </c>
      <c r="C97" s="4" t="s">
        <v>13</v>
      </c>
      <c r="D97" s="4" t="s">
        <v>15</v>
      </c>
      <c r="E97" s="4" t="s">
        <v>17</v>
      </c>
      <c r="F97" s="4" t="s">
        <v>19</v>
      </c>
      <c r="G97" s="4" t="s">
        <v>28</v>
      </c>
      <c r="H97" s="4" t="s">
        <v>23</v>
      </c>
      <c r="I97" s="4" t="s">
        <v>25</v>
      </c>
    </row>
    <row r="98" spans="1:9" ht="25.5" x14ac:dyDescent="0.25">
      <c r="A98" s="7" t="s">
        <v>226</v>
      </c>
      <c r="B98" s="7" t="s">
        <v>32</v>
      </c>
      <c r="C98" s="6" t="s">
        <v>227</v>
      </c>
      <c r="D98" s="6" t="s">
        <v>113</v>
      </c>
      <c r="E98" s="7" t="s">
        <v>33</v>
      </c>
      <c r="F98" s="7" t="s">
        <v>32</v>
      </c>
      <c r="G98" s="6" t="s">
        <v>228</v>
      </c>
      <c r="H98" s="7" t="s">
        <v>137</v>
      </c>
      <c r="I98" s="7"/>
    </row>
    <row r="99" spans="1:9" ht="25.5" x14ac:dyDescent="0.25">
      <c r="A99" s="7" t="s">
        <v>229</v>
      </c>
      <c r="B99" s="7" t="s">
        <v>30</v>
      </c>
      <c r="C99" s="6" t="s">
        <v>230</v>
      </c>
      <c r="D99" s="6" t="s">
        <v>231</v>
      </c>
      <c r="E99" s="7" t="s">
        <v>33</v>
      </c>
      <c r="F99" s="7" t="s">
        <v>32</v>
      </c>
      <c r="G99" s="6" t="s">
        <v>232</v>
      </c>
      <c r="H99" s="7" t="s">
        <v>137</v>
      </c>
      <c r="I99" s="7"/>
    </row>
    <row r="100" spans="1:9" ht="25.5" x14ac:dyDescent="0.25">
      <c r="A100" s="7" t="s">
        <v>233</v>
      </c>
      <c r="B100" s="7" t="s">
        <v>30</v>
      </c>
      <c r="C100" s="6" t="s">
        <v>234</v>
      </c>
      <c r="D100" s="6" t="s">
        <v>229</v>
      </c>
      <c r="E100" s="7" t="s">
        <v>33</v>
      </c>
      <c r="F100" s="7" t="s">
        <v>32</v>
      </c>
      <c r="G100" s="6" t="s">
        <v>235</v>
      </c>
      <c r="H100" s="7" t="s">
        <v>137</v>
      </c>
      <c r="I100" s="7"/>
    </row>
    <row r="101" spans="1:9" x14ac:dyDescent="0.25">
      <c r="A101" s="7" t="s">
        <v>236</v>
      </c>
      <c r="B101" s="7" t="s">
        <v>30</v>
      </c>
      <c r="C101" s="6" t="s">
        <v>237</v>
      </c>
      <c r="D101" s="6" t="s">
        <v>229</v>
      </c>
      <c r="E101" s="7" t="s">
        <v>33</v>
      </c>
      <c r="F101" s="7" t="s">
        <v>32</v>
      </c>
      <c r="G101" s="6" t="s">
        <v>32</v>
      </c>
      <c r="H101" s="7" t="s">
        <v>137</v>
      </c>
      <c r="I101" s="7"/>
    </row>
    <row r="102" spans="1:9" ht="25.5" x14ac:dyDescent="0.25">
      <c r="A102" s="7" t="s">
        <v>238</v>
      </c>
      <c r="B102" s="7" t="s">
        <v>126</v>
      </c>
      <c r="C102" s="6" t="s">
        <v>239</v>
      </c>
      <c r="D102" s="6" t="s">
        <v>231</v>
      </c>
      <c r="E102" s="7" t="s">
        <v>33</v>
      </c>
      <c r="F102" s="7" t="s">
        <v>32</v>
      </c>
      <c r="G102" s="6" t="s">
        <v>240</v>
      </c>
      <c r="H102" s="7" t="s">
        <v>137</v>
      </c>
      <c r="I102" s="7"/>
    </row>
    <row r="103" spans="1:9" x14ac:dyDescent="0.25">
      <c r="A103" s="7" t="s">
        <v>241</v>
      </c>
      <c r="B103" s="7" t="s">
        <v>126</v>
      </c>
      <c r="C103" s="6" t="s">
        <v>242</v>
      </c>
      <c r="D103" s="6" t="s">
        <v>238</v>
      </c>
      <c r="E103" s="7" t="s">
        <v>33</v>
      </c>
      <c r="F103" s="7" t="s">
        <v>32</v>
      </c>
      <c r="G103" s="6" t="s">
        <v>32</v>
      </c>
      <c r="H103" s="7" t="s">
        <v>137</v>
      </c>
      <c r="I103" s="7"/>
    </row>
    <row r="104" spans="1:9" x14ac:dyDescent="0.25">
      <c r="A104" s="7" t="s">
        <v>243</v>
      </c>
      <c r="B104" s="7" t="s">
        <v>32</v>
      </c>
      <c r="C104" s="6" t="s">
        <v>244</v>
      </c>
      <c r="D104" s="6" t="s">
        <v>203</v>
      </c>
      <c r="E104" s="7" t="s">
        <v>33</v>
      </c>
      <c r="F104" s="7" t="s">
        <v>32</v>
      </c>
      <c r="G104" s="6" t="s">
        <v>245</v>
      </c>
      <c r="H104" s="7" t="s">
        <v>137</v>
      </c>
      <c r="I104" s="7"/>
    </row>
    <row r="106" spans="1:9" x14ac:dyDescent="0.25">
      <c r="A106" s="18" t="s">
        <v>246</v>
      </c>
      <c r="B106" s="19"/>
      <c r="C106" s="19"/>
      <c r="D106" s="19"/>
      <c r="E106" s="19"/>
      <c r="F106" s="19"/>
      <c r="G106" s="19"/>
      <c r="H106" s="19"/>
      <c r="I106" s="17"/>
    </row>
    <row r="107" spans="1:9" x14ac:dyDescent="0.25">
      <c r="A107" s="4" t="s">
        <v>9</v>
      </c>
      <c r="B107" s="4" t="s">
        <v>11</v>
      </c>
      <c r="C107" s="4" t="s">
        <v>13</v>
      </c>
      <c r="D107" s="4" t="s">
        <v>15</v>
      </c>
      <c r="E107" s="4" t="s">
        <v>17</v>
      </c>
      <c r="F107" s="4" t="s">
        <v>19</v>
      </c>
      <c r="G107" s="4" t="s">
        <v>28</v>
      </c>
      <c r="H107" s="4" t="s">
        <v>23</v>
      </c>
      <c r="I107" s="4" t="s">
        <v>25</v>
      </c>
    </row>
    <row r="108" spans="1:9" ht="25.5" x14ac:dyDescent="0.25">
      <c r="A108" s="7" t="s">
        <v>247</v>
      </c>
      <c r="B108" s="7" t="s">
        <v>30</v>
      </c>
      <c r="C108" s="6" t="s">
        <v>248</v>
      </c>
      <c r="D108" s="6" t="s">
        <v>249</v>
      </c>
      <c r="E108" s="7" t="s">
        <v>33</v>
      </c>
      <c r="F108" s="7" t="s">
        <v>32</v>
      </c>
      <c r="G108" s="6" t="s">
        <v>250</v>
      </c>
      <c r="H108" s="7" t="s">
        <v>137</v>
      </c>
      <c r="I108" s="7"/>
    </row>
    <row r="109" spans="1:9" ht="25.5" x14ac:dyDescent="0.25">
      <c r="A109" s="7" t="s">
        <v>251</v>
      </c>
      <c r="B109" s="7" t="s">
        <v>30</v>
      </c>
      <c r="C109" s="6" t="s">
        <v>252</v>
      </c>
      <c r="D109" s="6" t="s">
        <v>247</v>
      </c>
      <c r="E109" s="7" t="s">
        <v>33</v>
      </c>
      <c r="F109" s="7" t="s">
        <v>32</v>
      </c>
      <c r="G109" s="6" t="s">
        <v>253</v>
      </c>
      <c r="H109" s="7" t="s">
        <v>137</v>
      </c>
      <c r="I109" s="7"/>
    </row>
    <row r="110" spans="1:9" x14ac:dyDescent="0.25">
      <c r="A110" s="7" t="s">
        <v>254</v>
      </c>
      <c r="B110" s="7" t="s">
        <v>126</v>
      </c>
      <c r="C110" s="6" t="s">
        <v>255</v>
      </c>
      <c r="D110" s="6" t="s">
        <v>247</v>
      </c>
      <c r="E110" s="7" t="s">
        <v>33</v>
      </c>
      <c r="F110" s="7" t="s">
        <v>32</v>
      </c>
      <c r="G110" s="6" t="s">
        <v>256</v>
      </c>
      <c r="H110" s="7" t="s">
        <v>137</v>
      </c>
      <c r="I110" s="7"/>
    </row>
    <row r="111" spans="1:9" x14ac:dyDescent="0.25">
      <c r="A111" s="7" t="s">
        <v>257</v>
      </c>
      <c r="B111" s="7" t="s">
        <v>32</v>
      </c>
      <c r="C111" s="6" t="s">
        <v>258</v>
      </c>
      <c r="D111" s="6" t="s">
        <v>251</v>
      </c>
      <c r="E111" s="7" t="s">
        <v>33</v>
      </c>
      <c r="F111" s="7" t="s">
        <v>32</v>
      </c>
      <c r="G111" s="6" t="s">
        <v>259</v>
      </c>
      <c r="H111" s="7" t="s">
        <v>137</v>
      </c>
      <c r="I111" s="7"/>
    </row>
    <row r="113" spans="1:9" x14ac:dyDescent="0.25">
      <c r="A113" s="18" t="s">
        <v>260</v>
      </c>
      <c r="B113" s="19"/>
      <c r="C113" s="19"/>
      <c r="D113" s="19"/>
      <c r="E113" s="19"/>
      <c r="F113" s="19"/>
      <c r="G113" s="19"/>
      <c r="H113" s="19"/>
      <c r="I113" s="17"/>
    </row>
    <row r="114" spans="1:9" x14ac:dyDescent="0.25">
      <c r="A114" s="4" t="s">
        <v>9</v>
      </c>
      <c r="B114" s="4" t="s">
        <v>11</v>
      </c>
      <c r="C114" s="4" t="s">
        <v>13</v>
      </c>
      <c r="D114" s="4" t="s">
        <v>15</v>
      </c>
      <c r="E114" s="4" t="s">
        <v>17</v>
      </c>
      <c r="F114" s="4" t="s">
        <v>19</v>
      </c>
      <c r="G114" s="4" t="s">
        <v>28</v>
      </c>
      <c r="H114" s="4" t="s">
        <v>23</v>
      </c>
      <c r="I114" s="4" t="s">
        <v>25</v>
      </c>
    </row>
    <row r="115" spans="1:9" x14ac:dyDescent="0.25">
      <c r="A115" s="7" t="s">
        <v>261</v>
      </c>
      <c r="B115" s="7" t="s">
        <v>30</v>
      </c>
      <c r="C115" s="6" t="s">
        <v>262</v>
      </c>
      <c r="D115" s="6" t="s">
        <v>29</v>
      </c>
      <c r="E115" s="7" t="s">
        <v>33</v>
      </c>
      <c r="F115" s="7" t="s">
        <v>32</v>
      </c>
      <c r="G115" s="6" t="s">
        <v>263</v>
      </c>
      <c r="H115" s="7" t="s">
        <v>46</v>
      </c>
      <c r="I115" s="7"/>
    </row>
    <row r="116" spans="1:9" x14ac:dyDescent="0.25">
      <c r="A116" s="7" t="s">
        <v>264</v>
      </c>
      <c r="B116" s="7" t="s">
        <v>30</v>
      </c>
      <c r="C116" s="6" t="s">
        <v>265</v>
      </c>
      <c r="D116" s="6" t="s">
        <v>125</v>
      </c>
      <c r="E116" s="7" t="s">
        <v>33</v>
      </c>
      <c r="F116" s="7" t="s">
        <v>32</v>
      </c>
      <c r="G116" s="6" t="s">
        <v>266</v>
      </c>
      <c r="H116" s="7" t="s">
        <v>46</v>
      </c>
      <c r="I116" s="7"/>
    </row>
    <row r="117" spans="1:9" x14ac:dyDescent="0.25">
      <c r="A117" s="7" t="s">
        <v>267</v>
      </c>
      <c r="B117" s="7" t="s">
        <v>126</v>
      </c>
      <c r="C117" s="6" t="s">
        <v>268</v>
      </c>
      <c r="D117" s="6" t="s">
        <v>125</v>
      </c>
      <c r="E117" s="7" t="s">
        <v>33</v>
      </c>
      <c r="F117" s="7" t="s">
        <v>32</v>
      </c>
      <c r="G117" s="6" t="s">
        <v>269</v>
      </c>
      <c r="H117" s="7" t="s">
        <v>46</v>
      </c>
      <c r="I117" s="7"/>
    </row>
    <row r="118" spans="1:9" x14ac:dyDescent="0.25">
      <c r="A118" s="7" t="s">
        <v>270</v>
      </c>
      <c r="B118" s="7" t="s">
        <v>126</v>
      </c>
      <c r="C118" s="6" t="s">
        <v>271</v>
      </c>
      <c r="D118" s="6" t="s">
        <v>29</v>
      </c>
      <c r="E118" s="7" t="s">
        <v>33</v>
      </c>
      <c r="F118" s="7" t="s">
        <v>32</v>
      </c>
      <c r="G118" s="6" t="s">
        <v>272</v>
      </c>
      <c r="H118" s="7" t="s">
        <v>46</v>
      </c>
      <c r="I118" s="7"/>
    </row>
    <row r="120" spans="1:9" x14ac:dyDescent="0.25">
      <c r="A120" s="18" t="s">
        <v>273</v>
      </c>
      <c r="B120" s="19"/>
      <c r="C120" s="17"/>
    </row>
    <row r="121" spans="1:9" ht="25.5" x14ac:dyDescent="0.25">
      <c r="A121" s="4" t="s">
        <v>17</v>
      </c>
      <c r="B121" s="4" t="s">
        <v>274</v>
      </c>
      <c r="C121" s="4" t="s">
        <v>275</v>
      </c>
    </row>
    <row r="122" spans="1:9" ht="25.5" x14ac:dyDescent="0.25">
      <c r="A122" s="5" t="s">
        <v>276</v>
      </c>
      <c r="B122" s="7">
        <f>COUNTIF($E$23:$E$118,A122)</f>
        <v>0</v>
      </c>
      <c r="C122" s="8">
        <f>IF($B$126=0,0,B122/$B$126)</f>
        <v>0</v>
      </c>
    </row>
    <row r="123" spans="1:9" x14ac:dyDescent="0.25">
      <c r="A123" s="5" t="s">
        <v>115</v>
      </c>
      <c r="B123" s="7">
        <f>COUNTIF($E$23:$E$118,A123)</f>
        <v>6</v>
      </c>
      <c r="C123" s="8">
        <f>IF($B$126=0,0,B123/$B$126)</f>
        <v>8.3333333333333329E-2</v>
      </c>
    </row>
    <row r="124" spans="1:9" ht="25.5" x14ac:dyDescent="0.25">
      <c r="A124" s="5" t="s">
        <v>277</v>
      </c>
      <c r="B124" s="7">
        <f>COUNTIF($E$23:$E$118,A124)</f>
        <v>0</v>
      </c>
      <c r="C124" s="8">
        <f>IF($B$126=0,0,B124/$B$126)</f>
        <v>0</v>
      </c>
    </row>
    <row r="125" spans="1:9" ht="38.25" x14ac:dyDescent="0.25">
      <c r="A125" s="5" t="s">
        <v>33</v>
      </c>
      <c r="B125" s="7">
        <f>COUNTIF($E$23:$E$118,A125)</f>
        <v>66</v>
      </c>
      <c r="C125" s="8">
        <f>IF($B$126=0,0,B125/$B$126)</f>
        <v>0.91666666666666663</v>
      </c>
    </row>
    <row r="126" spans="1:9" x14ac:dyDescent="0.25">
      <c r="A126" s="5" t="s">
        <v>278</v>
      </c>
      <c r="B126" s="9">
        <f>SUM(B122:B125)</f>
        <v>72</v>
      </c>
      <c r="C126" s="10">
        <f>IF(B126=0,0,B126/B126)</f>
        <v>1</v>
      </c>
    </row>
    <row r="128" spans="1:9" x14ac:dyDescent="0.25">
      <c r="A128" s="18" t="s">
        <v>279</v>
      </c>
      <c r="B128" s="19"/>
      <c r="C128" s="19"/>
      <c r="D128" s="19"/>
      <c r="E128" s="19"/>
      <c r="F128" s="19"/>
      <c r="G128" s="17"/>
    </row>
    <row r="129" spans="1:7" ht="25.5" x14ac:dyDescent="0.25">
      <c r="A129" s="4" t="s">
        <v>280</v>
      </c>
      <c r="B129" s="4" t="s">
        <v>8</v>
      </c>
      <c r="C129" s="4" t="s">
        <v>281</v>
      </c>
      <c r="D129" s="4" t="s">
        <v>115</v>
      </c>
      <c r="E129" s="4" t="s">
        <v>282</v>
      </c>
      <c r="F129" s="4" t="s">
        <v>283</v>
      </c>
      <c r="G129" s="4" t="s">
        <v>278</v>
      </c>
    </row>
    <row r="130" spans="1:7" ht="127.5" x14ac:dyDescent="0.25">
      <c r="A130" s="5" t="s">
        <v>284</v>
      </c>
      <c r="B130" s="6" t="s">
        <v>285</v>
      </c>
      <c r="C130" s="7">
        <f>COUNTIF($E$23:$E$45,"Implementado")</f>
        <v>0</v>
      </c>
      <c r="D130" s="7">
        <f>COUNTIF($E$23:$E$45,"Parcial")</f>
        <v>0</v>
      </c>
      <c r="E130" s="7">
        <f>COUNTIF($E$23:$E$45,"Divergente")</f>
        <v>0</v>
      </c>
      <c r="F130" s="7">
        <f>COUNTIF($E$23:$E$45,"Não implementado")</f>
        <v>23</v>
      </c>
      <c r="G130" s="9">
        <f t="shared" ref="G130:G138" si="0">SUM(C130:F130)</f>
        <v>23</v>
      </c>
    </row>
    <row r="131" spans="1:7" ht="63.75" x14ac:dyDescent="0.25">
      <c r="A131" s="5" t="s">
        <v>286</v>
      </c>
      <c r="B131" s="6" t="s">
        <v>287</v>
      </c>
      <c r="C131" s="7">
        <f>COUNTIF($E$49:$E$56,"Implementado")</f>
        <v>0</v>
      </c>
      <c r="D131" s="7">
        <f>COUNTIF($E$49:$E$56,"Parcial")</f>
        <v>2</v>
      </c>
      <c r="E131" s="7">
        <f>COUNTIF($E$49:$E$56,"Divergente")</f>
        <v>0</v>
      </c>
      <c r="F131" s="7">
        <f>COUNTIF($E$49:$E$56,"Não implementado")</f>
        <v>6</v>
      </c>
      <c r="G131" s="9">
        <f t="shared" si="0"/>
        <v>8</v>
      </c>
    </row>
    <row r="132" spans="1:7" ht="51" x14ac:dyDescent="0.25">
      <c r="A132" s="5" t="s">
        <v>288</v>
      </c>
      <c r="B132" s="6" t="s">
        <v>289</v>
      </c>
      <c r="C132" s="7">
        <f>COUNTIF($E$60:$E$66,"Implementado")</f>
        <v>0</v>
      </c>
      <c r="D132" s="7">
        <f>COUNTIF($E$60:$E$66,"Parcial")</f>
        <v>4</v>
      </c>
      <c r="E132" s="7">
        <f>COUNTIF($E$60:$E$66,"Divergente")</f>
        <v>0</v>
      </c>
      <c r="F132" s="7">
        <f>COUNTIF($E$60:$E$66,"Não implementado")</f>
        <v>3</v>
      </c>
      <c r="G132" s="9">
        <f t="shared" si="0"/>
        <v>7</v>
      </c>
    </row>
    <row r="133" spans="1:7" ht="63.75" x14ac:dyDescent="0.25">
      <c r="A133" s="5" t="s">
        <v>290</v>
      </c>
      <c r="B133" s="6" t="s">
        <v>291</v>
      </c>
      <c r="C133" s="7">
        <f>COUNTIF($E$70:$E$75,"Implementado")</f>
        <v>0</v>
      </c>
      <c r="D133" s="7">
        <f>COUNTIF($E$70:$E$75,"Parcial")</f>
        <v>0</v>
      </c>
      <c r="E133" s="7">
        <f>COUNTIF($E$70:$E$75,"Divergente")</f>
        <v>0</v>
      </c>
      <c r="F133" s="7">
        <f>COUNTIF($E$70:$E$75,"Não implementado")</f>
        <v>6</v>
      </c>
      <c r="G133" s="9">
        <f t="shared" si="0"/>
        <v>6</v>
      </c>
    </row>
    <row r="134" spans="1:7" ht="63.75" x14ac:dyDescent="0.25">
      <c r="A134" s="5" t="s">
        <v>292</v>
      </c>
      <c r="B134" s="6" t="s">
        <v>293</v>
      </c>
      <c r="C134" s="7">
        <f>COUNTIF($E$79:$E$87,"Implementado")</f>
        <v>0</v>
      </c>
      <c r="D134" s="7">
        <f>COUNTIF($E$79:$E$87,"Parcial")</f>
        <v>0</v>
      </c>
      <c r="E134" s="7">
        <f>COUNTIF($E$79:$E$87,"Divergente")</f>
        <v>0</v>
      </c>
      <c r="F134" s="7">
        <f>COUNTIF($E$79:$E$87,"Não implementado")</f>
        <v>9</v>
      </c>
      <c r="G134" s="9">
        <f t="shared" si="0"/>
        <v>9</v>
      </c>
    </row>
    <row r="135" spans="1:7" ht="38.25" x14ac:dyDescent="0.25">
      <c r="A135" s="5" t="s">
        <v>294</v>
      </c>
      <c r="B135" s="6" t="s">
        <v>295</v>
      </c>
      <c r="C135" s="7">
        <f>COUNTIF($E$91:$E$94,"Implementado")</f>
        <v>0</v>
      </c>
      <c r="D135" s="7">
        <f>COUNTIF($E$91:$E$94,"Parcial")</f>
        <v>0</v>
      </c>
      <c r="E135" s="7">
        <f>COUNTIF($E$91:$E$94,"Divergente")</f>
        <v>0</v>
      </c>
      <c r="F135" s="7">
        <f>COUNTIF($E$91:$E$94,"Não implementado")</f>
        <v>4</v>
      </c>
      <c r="G135" s="9">
        <f t="shared" si="0"/>
        <v>4</v>
      </c>
    </row>
    <row r="136" spans="1:7" ht="76.5" x14ac:dyDescent="0.25">
      <c r="A136" s="5" t="s">
        <v>296</v>
      </c>
      <c r="B136" s="6" t="s">
        <v>297</v>
      </c>
      <c r="C136" s="7">
        <f>COUNTIF($E$98:$E$104,"Implementado")</f>
        <v>0</v>
      </c>
      <c r="D136" s="7">
        <f>COUNTIF($E$98:$E$104,"Parcial")</f>
        <v>0</v>
      </c>
      <c r="E136" s="7">
        <f>COUNTIF($E$98:$E$104,"Divergente")</f>
        <v>0</v>
      </c>
      <c r="F136" s="7">
        <f>COUNTIF($E$98:$E$104,"Não implementado")</f>
        <v>7</v>
      </c>
      <c r="G136" s="9">
        <f t="shared" si="0"/>
        <v>7</v>
      </c>
    </row>
    <row r="137" spans="1:7" ht="51" x14ac:dyDescent="0.25">
      <c r="A137" s="5" t="s">
        <v>298</v>
      </c>
      <c r="B137" s="6" t="s">
        <v>299</v>
      </c>
      <c r="C137" s="7">
        <f>COUNTIF($E$108:$E$111,"Implementado")</f>
        <v>0</v>
      </c>
      <c r="D137" s="7">
        <f>COUNTIF($E$108:$E$111,"Parcial")</f>
        <v>0</v>
      </c>
      <c r="E137" s="7">
        <f>COUNTIF($E$108:$E$111,"Divergente")</f>
        <v>0</v>
      </c>
      <c r="F137" s="7">
        <f>COUNTIF($E$108:$E$111,"Não implementado")</f>
        <v>4</v>
      </c>
      <c r="G137" s="9">
        <f t="shared" si="0"/>
        <v>4</v>
      </c>
    </row>
    <row r="138" spans="1:7" ht="63.75" x14ac:dyDescent="0.25">
      <c r="A138" s="5" t="s">
        <v>300</v>
      </c>
      <c r="B138" s="6" t="s">
        <v>301</v>
      </c>
      <c r="C138" s="7">
        <f>COUNTIF($E$115:$E$118,"Implementado")</f>
        <v>0</v>
      </c>
      <c r="D138" s="7">
        <f>COUNTIF($E$115:$E$118,"Parcial")</f>
        <v>0</v>
      </c>
      <c r="E138" s="7">
        <f>COUNTIF($E$115:$E$118,"Divergente")</f>
        <v>0</v>
      </c>
      <c r="F138" s="7">
        <f>COUNTIF($E$115:$E$118,"Não implementado")</f>
        <v>4</v>
      </c>
      <c r="G138" s="9">
        <f t="shared" si="0"/>
        <v>4</v>
      </c>
    </row>
    <row r="139" spans="1:7" x14ac:dyDescent="0.25">
      <c r="A139" s="5" t="s">
        <v>278</v>
      </c>
      <c r="B139" s="6"/>
      <c r="C139" s="9">
        <f>SUM(C130:C138)</f>
        <v>0</v>
      </c>
      <c r="D139" s="9">
        <f>SUM(D130:D138)</f>
        <v>6</v>
      </c>
      <c r="E139" s="9">
        <f>SUM(E130:E138)</f>
        <v>0</v>
      </c>
      <c r="F139" s="9">
        <f>SUM(F130:F138)</f>
        <v>66</v>
      </c>
      <c r="G139" s="9">
        <f>SUM(G130:G138)</f>
        <v>72</v>
      </c>
    </row>
    <row r="141" spans="1:7" x14ac:dyDescent="0.25">
      <c r="A141" s="18" t="s">
        <v>302</v>
      </c>
      <c r="B141" s="19"/>
      <c r="C141" s="19"/>
      <c r="D141" s="19"/>
      <c r="E141" s="17"/>
    </row>
    <row r="142" spans="1:7" x14ac:dyDescent="0.25">
      <c r="A142" s="4" t="s">
        <v>303</v>
      </c>
      <c r="B142" s="20" t="s">
        <v>304</v>
      </c>
      <c r="C142" s="17"/>
      <c r="D142" s="4" t="s">
        <v>305</v>
      </c>
      <c r="E142" s="4" t="s">
        <v>306</v>
      </c>
    </row>
    <row r="143" spans="1:7" ht="30" customHeight="1" x14ac:dyDescent="0.25">
      <c r="A143" s="7">
        <v>1</v>
      </c>
      <c r="B143" s="15" t="s">
        <v>307</v>
      </c>
      <c r="C143" s="17"/>
      <c r="D143" s="11" t="s">
        <v>308</v>
      </c>
      <c r="E143" s="7" t="s">
        <v>309</v>
      </c>
    </row>
    <row r="144" spans="1:7" ht="30" customHeight="1" x14ac:dyDescent="0.25">
      <c r="A144" s="7">
        <v>2</v>
      </c>
      <c r="B144" s="15" t="s">
        <v>310</v>
      </c>
      <c r="C144" s="17"/>
      <c r="D144" s="11" t="s">
        <v>308</v>
      </c>
      <c r="E144" s="7" t="s">
        <v>311</v>
      </c>
    </row>
    <row r="145" spans="1:5" ht="30" customHeight="1" x14ac:dyDescent="0.25">
      <c r="A145" s="7">
        <v>3</v>
      </c>
      <c r="B145" s="15" t="s">
        <v>312</v>
      </c>
      <c r="C145" s="17"/>
      <c r="D145" s="11" t="s">
        <v>308</v>
      </c>
      <c r="E145" s="7" t="s">
        <v>313</v>
      </c>
    </row>
    <row r="146" spans="1:5" ht="30" customHeight="1" x14ac:dyDescent="0.25">
      <c r="A146" s="7">
        <v>4</v>
      </c>
      <c r="B146" s="15" t="s">
        <v>314</v>
      </c>
      <c r="C146" s="17"/>
      <c r="D146" s="11" t="s">
        <v>308</v>
      </c>
      <c r="E146" s="7" t="s">
        <v>154</v>
      </c>
    </row>
    <row r="147" spans="1:5" ht="30" customHeight="1" x14ac:dyDescent="0.25">
      <c r="A147" s="7">
        <v>5</v>
      </c>
      <c r="B147" s="15" t="s">
        <v>315</v>
      </c>
      <c r="C147" s="17"/>
      <c r="D147" s="12" t="s">
        <v>316</v>
      </c>
      <c r="E147" s="7" t="s">
        <v>309</v>
      </c>
    </row>
    <row r="148" spans="1:5" ht="30" customHeight="1" x14ac:dyDescent="0.25">
      <c r="A148" s="7">
        <v>6</v>
      </c>
      <c r="B148" s="15" t="s">
        <v>317</v>
      </c>
      <c r="C148" s="17"/>
      <c r="D148" s="12" t="s">
        <v>316</v>
      </c>
      <c r="E148" s="7" t="s">
        <v>318</v>
      </c>
    </row>
    <row r="149" spans="1:5" ht="30" customHeight="1" x14ac:dyDescent="0.25">
      <c r="A149" s="7">
        <v>7</v>
      </c>
      <c r="B149" s="15" t="s">
        <v>319</v>
      </c>
      <c r="C149" s="17"/>
      <c r="D149" s="12" t="s">
        <v>316</v>
      </c>
      <c r="E149" s="7" t="s">
        <v>320</v>
      </c>
    </row>
    <row r="150" spans="1:5" ht="30" customHeight="1" x14ac:dyDescent="0.25">
      <c r="A150" s="7">
        <v>8</v>
      </c>
      <c r="B150" s="15" t="s">
        <v>321</v>
      </c>
      <c r="C150" s="17"/>
      <c r="D150" s="12" t="s">
        <v>316</v>
      </c>
      <c r="E150" s="7" t="s">
        <v>113</v>
      </c>
    </row>
    <row r="151" spans="1:5" ht="30" customHeight="1" x14ac:dyDescent="0.25">
      <c r="A151" s="7">
        <v>9</v>
      </c>
      <c r="B151" s="15" t="s">
        <v>322</v>
      </c>
      <c r="C151" s="17"/>
      <c r="D151" s="13" t="s">
        <v>323</v>
      </c>
      <c r="E151" s="7" t="s">
        <v>324</v>
      </c>
    </row>
    <row r="152" spans="1:5" ht="30" customHeight="1" x14ac:dyDescent="0.25">
      <c r="A152" s="7">
        <v>10</v>
      </c>
      <c r="B152" s="15" t="s">
        <v>325</v>
      </c>
      <c r="C152" s="17"/>
      <c r="D152" s="13" t="s">
        <v>323</v>
      </c>
      <c r="E152" s="7" t="s">
        <v>32</v>
      </c>
    </row>
    <row r="154" spans="1:5" x14ac:dyDescent="0.25">
      <c r="A154" s="18" t="s">
        <v>326</v>
      </c>
      <c r="B154" s="19"/>
      <c r="C154" s="19"/>
      <c r="D154" s="17"/>
    </row>
    <row r="155" spans="1:5" x14ac:dyDescent="0.25">
      <c r="A155" s="4" t="s">
        <v>327</v>
      </c>
      <c r="B155" s="20" t="s">
        <v>328</v>
      </c>
      <c r="C155" s="17"/>
      <c r="D155" s="4" t="s">
        <v>306</v>
      </c>
    </row>
    <row r="156" spans="1:5" x14ac:dyDescent="0.25">
      <c r="A156" s="7" t="s">
        <v>63</v>
      </c>
      <c r="B156" s="15" t="s">
        <v>329</v>
      </c>
      <c r="C156" s="17"/>
      <c r="D156" s="7" t="s">
        <v>60</v>
      </c>
    </row>
    <row r="157" spans="1:5" ht="25.5" x14ac:dyDescent="0.25">
      <c r="A157" s="7" t="s">
        <v>34</v>
      </c>
      <c r="B157" s="15" t="s">
        <v>330</v>
      </c>
      <c r="C157" s="17"/>
      <c r="D157" s="7" t="s">
        <v>331</v>
      </c>
    </row>
    <row r="158" spans="1:5" x14ac:dyDescent="0.25">
      <c r="A158" s="7" t="s">
        <v>67</v>
      </c>
      <c r="B158" s="15" t="s">
        <v>332</v>
      </c>
      <c r="C158" s="17"/>
      <c r="D158" s="7" t="s">
        <v>333</v>
      </c>
    </row>
    <row r="159" spans="1:5" x14ac:dyDescent="0.25">
      <c r="A159" s="7" t="s">
        <v>75</v>
      </c>
      <c r="B159" s="15" t="s">
        <v>334</v>
      </c>
      <c r="C159" s="17"/>
      <c r="D159" s="7" t="s">
        <v>73</v>
      </c>
    </row>
    <row r="160" spans="1:5" x14ac:dyDescent="0.25">
      <c r="A160" s="7" t="s">
        <v>83</v>
      </c>
      <c r="B160" s="15" t="s">
        <v>335</v>
      </c>
      <c r="C160" s="17"/>
      <c r="D160" s="7" t="s">
        <v>336</v>
      </c>
    </row>
    <row r="161" spans="1:4" x14ac:dyDescent="0.25">
      <c r="A161" s="7" t="s">
        <v>96</v>
      </c>
      <c r="B161" s="15" t="s">
        <v>337</v>
      </c>
      <c r="C161" s="17"/>
      <c r="D161" s="7" t="s">
        <v>338</v>
      </c>
    </row>
    <row r="162" spans="1:4" x14ac:dyDescent="0.25">
      <c r="A162" s="7" t="s">
        <v>103</v>
      </c>
      <c r="B162" s="15" t="s">
        <v>339</v>
      </c>
      <c r="C162" s="17"/>
      <c r="D162" s="7" t="s">
        <v>101</v>
      </c>
    </row>
    <row r="163" spans="1:4" x14ac:dyDescent="0.25">
      <c r="A163" s="7" t="s">
        <v>107</v>
      </c>
      <c r="B163" s="15" t="s">
        <v>340</v>
      </c>
      <c r="C163" s="17"/>
      <c r="D163" s="7" t="s">
        <v>341</v>
      </c>
    </row>
    <row r="164" spans="1:4" ht="25.5" x14ac:dyDescent="0.25">
      <c r="A164" s="7" t="s">
        <v>56</v>
      </c>
      <c r="B164" s="15" t="s">
        <v>342</v>
      </c>
      <c r="C164" s="17"/>
      <c r="D164" s="7" t="s">
        <v>343</v>
      </c>
    </row>
    <row r="165" spans="1:4" x14ac:dyDescent="0.25">
      <c r="A165" s="7" t="s">
        <v>78</v>
      </c>
      <c r="B165" s="15" t="s">
        <v>344</v>
      </c>
      <c r="C165" s="17"/>
      <c r="D165" s="7" t="s">
        <v>76</v>
      </c>
    </row>
    <row r="166" spans="1:4" x14ac:dyDescent="0.25">
      <c r="A166" s="7" t="s">
        <v>345</v>
      </c>
      <c r="B166" s="15" t="s">
        <v>346</v>
      </c>
      <c r="C166" s="17"/>
      <c r="D166" s="7" t="s">
        <v>347</v>
      </c>
    </row>
    <row r="168" spans="1:4" x14ac:dyDescent="0.25">
      <c r="A168" s="14" t="s">
        <v>348</v>
      </c>
    </row>
  </sheetData>
  <mergeCells count="48">
    <mergeCell ref="B11:G11"/>
    <mergeCell ref="A1:H1"/>
    <mergeCell ref="A2:H2"/>
    <mergeCell ref="B166:C166"/>
    <mergeCell ref="B147:C147"/>
    <mergeCell ref="A68:I68"/>
    <mergeCell ref="B146:C146"/>
    <mergeCell ref="A58:I58"/>
    <mergeCell ref="A77:I77"/>
    <mergeCell ref="A141:E141"/>
    <mergeCell ref="A128:G128"/>
    <mergeCell ref="B158:C158"/>
    <mergeCell ref="B143:C143"/>
    <mergeCell ref="A154:D154"/>
    <mergeCell ref="B142:C142"/>
    <mergeCell ref="B164:C164"/>
    <mergeCell ref="B160:C160"/>
    <mergeCell ref="B163:C163"/>
    <mergeCell ref="B144:C144"/>
    <mergeCell ref="B13:G13"/>
    <mergeCell ref="A21:I21"/>
    <mergeCell ref="B152:C152"/>
    <mergeCell ref="B19:G19"/>
    <mergeCell ref="B10:G10"/>
    <mergeCell ref="A113:I113"/>
    <mergeCell ref="A47:I47"/>
    <mergeCell ref="B151:C151"/>
    <mergeCell ref="B145:C145"/>
    <mergeCell ref="A106:I106"/>
    <mergeCell ref="B148:C148"/>
    <mergeCell ref="B15:G15"/>
    <mergeCell ref="A96:I96"/>
    <mergeCell ref="B16:G16"/>
    <mergeCell ref="B12:G12"/>
    <mergeCell ref="B18:G18"/>
    <mergeCell ref="B14:G14"/>
    <mergeCell ref="B165:C165"/>
    <mergeCell ref="B150:C150"/>
    <mergeCell ref="B17:G17"/>
    <mergeCell ref="A89:I89"/>
    <mergeCell ref="B156:C156"/>
    <mergeCell ref="B159:C159"/>
    <mergeCell ref="B155:C155"/>
    <mergeCell ref="A120:C120"/>
    <mergeCell ref="B149:C149"/>
    <mergeCell ref="B161:C161"/>
    <mergeCell ref="B157:C157"/>
    <mergeCell ref="B162:C162"/>
  </mergeCells>
  <conditionalFormatting sqref="E23:E118">
    <cfRule type="expression" dxfId="3" priority="1">
      <formula>E23="Implementado"</formula>
    </cfRule>
    <cfRule type="expression" dxfId="2" priority="2">
      <formula>E23="Parcial"</formula>
    </cfRule>
    <cfRule type="expression" dxfId="1" priority="3">
      <formula>E23="Divergente"</formula>
    </cfRule>
    <cfRule type="expression" dxfId="0" priority="4">
      <formula>E23="Não implementado"</formula>
    </cfRule>
  </conditionalFormatting>
  <dataValidations count="2">
    <dataValidation type="list" allowBlank="1" sqref="E23:E45 E49:E56 E60:E66 E70:E75 E79:E87 E91:E94 E98:E104 E108:E111 E115:E118" xr:uid="{00000000-0002-0000-0000-000000000000}">
      <formula1>"Implementado,Parcial,Divergente,Não implementado"</formula1>
    </dataValidation>
    <dataValidation type="list" allowBlank="1" sqref="H23:H45 H49:H56 H60:H66 H70:H75 H79:H87 H91:H94 H98:H104 H108:H111 H115:H118" xr:uid="{00000000-0002-0000-0000-000001000000}">
      <formula1>"Alta,Média,Baixa"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Patrícia MARTINS</cp:lastModifiedBy>
  <dcterms:created xsi:type="dcterms:W3CDTF">2026-09-26T21:49:11Z</dcterms:created>
  <dcterms:modified xsi:type="dcterms:W3CDTF">2026-09-27T00:07:24Z</dcterms:modified>
</cp:coreProperties>
</file>